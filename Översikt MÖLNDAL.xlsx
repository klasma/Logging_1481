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46312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46312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46312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46312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46312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46312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46312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46379-2025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45925</v>
      </c>
      <c r="E9" s="1" t="n">
        <v>46312</v>
      </c>
      <c r="F9" t="inlineStr">
        <is>
          <t>VÄSTRA GÖTALANDS LÄN</t>
        </is>
      </c>
      <c r="G9" t="inlineStr">
        <is>
          <t>MÖLNDAL</t>
        </is>
      </c>
      <c r="I9" t="n">
        <v>4.8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4</v>
      </c>
      <c r="U9" t="n">
        <v>3</v>
      </c>
      <c r="V9" s="2" t="inlineStr">
        <is>
          <t>Spillkråka
Fiskgjuse</t>
        </is>
      </c>
      <c r="W9">
        <f>HYPERLINK("https://klasma.github.io/Logging_1481/artfynd/A 46379-2025 artfynd.xlsx", "A 46379-2025")</f>
        <v/>
      </c>
      <c r="X9">
        <f>HYPERLINK("https://klasma.github.io/Logging_1481/kartor/A 46379-2025 karta.png", "A 46379-2025")</f>
        <v/>
      </c>
      <c r="Y9">
        <f>HYPERLINK("https://klasma.github.io/Logging_1481/kartor_geotiff/A 46379-2025 georefererad karta.tif", "A 46379-2025")</f>
        <v/>
      </c>
      <c r="AA9">
        <f>HYPERLINK("https://klasma.github.io/Logging_1481/klagomål/A 46379-2025 FSC-klagomål.docx", "A 46379-2025")</f>
        <v/>
      </c>
      <c r="AB9">
        <f>HYPERLINK("https://klasma.github.io/Logging_1481/klagomålsmail/A 46379-2025 FSC-klagomål mail.docx", "A 46379-2025")</f>
        <v/>
      </c>
      <c r="AC9">
        <f>HYPERLINK("https://klasma.github.io/Logging_1481/tillsyn/A 46379-2025 tillsynsbegäran.docx", "A 46379-2025")</f>
        <v/>
      </c>
      <c r="AD9">
        <f>HYPERLINK("https://klasma.github.io/Logging_1481/tillsynsmail/A 46379-2025 tillsynsbegäran mail.docx", "A 46379-2025")</f>
        <v/>
      </c>
      <c r="AE9">
        <f>HYPERLINK("https://klasma.github.io/Logging_1481/fåglar/A 46379-2025 prioriterade fågelarter.docx", "A 46379-2025")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46312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46312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46312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46312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46312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46312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46312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46312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46312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46312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46312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46312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46312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46312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46312</v>
      </c>
      <c r="F24" t="inlineStr">
        <is>
          <t>VÄSTRA GÖTALANDS LÄN</t>
        </is>
      </c>
      <c r="G24" t="inlineStr">
        <is>
          <t>MÖLNDAL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43067-2024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46312</v>
      </c>
      <c r="F25" t="inlineStr">
        <is>
          <t>VÄSTRA GÖTALANDS LÄN</t>
        </is>
      </c>
      <c r="G25" t="inlineStr">
        <is>
          <t>MÖLNDAL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45378</v>
      </c>
      <c r="E26" s="1" t="n">
        <v>46312</v>
      </c>
      <c r="F26" t="inlineStr">
        <is>
          <t>VÄSTRA GÖTALANDS LÄN</t>
        </is>
      </c>
      <c r="G26" t="inlineStr">
        <is>
          <t>MÖLNDAL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46312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45072</v>
      </c>
      <c r="E28" s="1" t="n">
        <v>46312</v>
      </c>
      <c r="F28" t="inlineStr">
        <is>
          <t>VÄSTRA GÖTALANDS LÄN</t>
        </is>
      </c>
      <c r="G28" t="inlineStr">
        <is>
          <t>MÖLNDAL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46312</v>
      </c>
      <c r="F29" t="inlineStr">
        <is>
          <t>VÄSTRA GÖTALANDS LÄN</t>
        </is>
      </c>
      <c r="G29" t="inlineStr">
        <is>
          <t>MÖLNDAL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46312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46312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45337</v>
      </c>
      <c r="E32" s="1" t="n">
        <v>46312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46312</v>
      </c>
      <c r="F33" t="inlineStr">
        <is>
          <t>VÄSTRA GÖTALANDS LÄN</t>
        </is>
      </c>
      <c r="G33" t="inlineStr">
        <is>
          <t>MÖLNDAL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46312</v>
      </c>
      <c r="F34" t="inlineStr">
        <is>
          <t>VÄSTRA GÖTALANDS LÄN</t>
        </is>
      </c>
      <c r="G34" t="inlineStr">
        <is>
          <t>MÖLNDAL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46312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46312</v>
      </c>
      <c r="F36" t="inlineStr">
        <is>
          <t>VÄSTRA GÖTALANDS LÄN</t>
        </is>
      </c>
      <c r="G36" t="inlineStr">
        <is>
          <t>MÖLNDAL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46312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46312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46312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46196</v>
      </c>
      <c r="E40" s="1" t="n">
        <v>46312</v>
      </c>
      <c r="F40" t="inlineStr">
        <is>
          <t>VÄSTRA GÖTALANDS LÄN</t>
        </is>
      </c>
      <c r="G40" t="inlineStr">
        <is>
          <t>MÖLNDAL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46312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46312</v>
      </c>
      <c r="F42" t="inlineStr">
        <is>
          <t>VÄSTRA GÖTALANDS LÄN</t>
        </is>
      </c>
      <c r="G42" t="inlineStr">
        <is>
          <t>MÖLNDAL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31828-2026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46230</v>
      </c>
      <c r="E43" s="1" t="n">
        <v>46312</v>
      </c>
      <c r="F43" t="inlineStr">
        <is>
          <t>VÄSTRA GÖTALANDS LÄN</t>
        </is>
      </c>
      <c r="G43" t="inlineStr">
        <is>
          <t>MÖLNDAL</t>
        </is>
      </c>
      <c r="I43" t="n">
        <v>7.6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46312</v>
      </c>
      <c r="F44" t="inlineStr">
        <is>
          <t>VÄSTRA GÖTALANDS LÄN</t>
        </is>
      </c>
      <c r="G44" t="inlineStr">
        <is>
          <t>MÖLNDAL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32581-2026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46239</v>
      </c>
      <c r="E45" s="1" t="n">
        <v>46312</v>
      </c>
      <c r="F45" t="inlineStr">
        <is>
          <t>VÄSTRA GÖTALANDS LÄN</t>
        </is>
      </c>
      <c r="G45" t="inlineStr">
        <is>
          <t>MÖLNDAL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46312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46312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56133-2023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46312</v>
      </c>
      <c r="F48" t="inlineStr">
        <is>
          <t>VÄSTRA GÖTALANDS LÄN</t>
        </is>
      </c>
      <c r="G48" t="inlineStr">
        <is>
          <t>MÖLNDAL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46312</v>
      </c>
      <c r="F49" t="inlineStr">
        <is>
          <t>VÄSTRA GÖTALANDS LÄN</t>
        </is>
      </c>
      <c r="G49" t="inlineStr">
        <is>
          <t>MÖLNDAL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46312</v>
      </c>
      <c r="F50" t="inlineStr">
        <is>
          <t>VÄSTRA GÖTALANDS LÄN</t>
        </is>
      </c>
      <c r="G50" t="inlineStr">
        <is>
          <t>MÖLNDAL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41561-2026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46312</v>
      </c>
      <c r="F51" t="inlineStr">
        <is>
          <t>VÄSTRA GÖTALANDS LÄN</t>
        </is>
      </c>
      <c r="G51" t="inlineStr">
        <is>
          <t>MÖLNDAL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35293-2026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46312</v>
      </c>
      <c r="F52" t="inlineStr">
        <is>
          <t>VÄSTRA GÖTALANDS LÄN</t>
        </is>
      </c>
      <c r="G52" t="inlineStr">
        <is>
          <t>MÖLNDAL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45127</v>
      </c>
      <c r="E53" s="1" t="n">
        <v>46312</v>
      </c>
      <c r="F53" t="inlineStr">
        <is>
          <t>VÄSTRA GÖTALANDS LÄN</t>
        </is>
      </c>
      <c r="G53" t="inlineStr">
        <is>
          <t>MÖLNDAL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45880</v>
      </c>
      <c r="E54" s="1" t="n">
        <v>46312</v>
      </c>
      <c r="F54" t="inlineStr">
        <is>
          <t>VÄSTRA GÖTALANDS LÄN</t>
        </is>
      </c>
      <c r="G54" t="inlineStr">
        <is>
          <t>MÖLNDAL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46312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46312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>
      <c r="A57" t="inlineStr">
        <is>
          <t>S 2660-2026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46308</v>
      </c>
      <c r="E57" s="1" t="n">
        <v>46312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2026-10-17T02:06:01Z</dcterms:created>
  <dcterms:modified xmlns:dcterms="http://purl.org/dc/terms/" xmlns:xsi="http://www.w3.org/2001/XMLSchema-instance" xsi:type="dcterms:W3CDTF">2026-10-17T02:06:01Z</dcterms:modified>
</cp:coreProperties>
</file>