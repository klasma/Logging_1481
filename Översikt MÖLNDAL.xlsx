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46226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46226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46226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46226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Klippfrullania
Trubbfjädermossa</t>
        </is>
      </c>
      <c r="W5">
        <f>HYPERLINK("https://klasma.github.io/Logging_1481/artfynd/A 49789-2023 artfynd.xlsx", "A 49789-2023")</f>
        <v/>
      </c>
      <c r="X5">
        <f>HYPERLINK("https://klasma.github.io/Logging_1481/kartor/A 49789-2023 karta.png", "A 49789-2023")</f>
        <v/>
      </c>
      <c r="Y5">
        <f>HYPERLINK("https://klasma.github.io/Logging_1481/kartor_geotiff/A 49789-2023 georefererad karta.tif", "A 49789-2023")</f>
        <v/>
      </c>
      <c r="AA5">
        <f>HYPERLINK("https://klasma.github.io/Logging_1481/klagomål/A 49789-2023 FSC-klagomål.docx", "A 49789-2023")</f>
        <v/>
      </c>
      <c r="AB5">
        <f>HYPERLINK("https://klasma.github.io/Logging_1481/klagomålsmail/A 49789-2023 FSC-klagomål mail.docx", "A 49789-2023")</f>
        <v/>
      </c>
      <c r="AC5">
        <f>HYPERLINK("https://klasma.github.io/Logging_1481/tillsyn/A 49789-2023 tillsynsbegäran.docx", "A 49789-2023")</f>
        <v/>
      </c>
      <c r="AD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45663</v>
      </c>
      <c r="E6" s="1" t="n">
        <v>46226</v>
      </c>
      <c r="F6" t="inlineStr">
        <is>
          <t>VÄSTRA GÖTALANDS LÄN</t>
        </is>
      </c>
      <c r="G6" t="inlineStr">
        <is>
          <t>MÖLNDAL</t>
        </is>
      </c>
      <c r="I6" t="n">
        <v>5.1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Duvhök
Spillkråka</t>
        </is>
      </c>
      <c r="W6">
        <f>HYPERLINK("https://klasma.github.io/Logging_1481/artfynd/A 393-2025 artfynd.xlsx", "A 393-2025")</f>
        <v/>
      </c>
      <c r="X6">
        <f>HYPERLINK("https://klasma.github.io/Logging_1481/kartor/A 393-2025 karta.png", "A 393-2025")</f>
        <v/>
      </c>
      <c r="Y6">
        <f>HYPERLINK("https://klasma.github.io/Logging_1481/kartor_geotiff/A 393-2025 georefererad karta.tif", "A 393-2025")</f>
        <v/>
      </c>
      <c r="AA6">
        <f>HYPERLINK("https://klasma.github.io/Logging_1481/klagomål/A 393-2025 FSC-klagomål.docx", "A 393-2025")</f>
        <v/>
      </c>
      <c r="AB6">
        <f>HYPERLINK("https://klasma.github.io/Logging_1481/klagomålsmail/A 393-2025 FSC-klagomål mail.docx", "A 393-2025")</f>
        <v/>
      </c>
      <c r="AC6">
        <f>HYPERLINK("https://klasma.github.io/Logging_1481/tillsyn/A 393-2025 tillsynsbegäran.docx", "A 393-2025")</f>
        <v/>
      </c>
      <c r="AD6">
        <f>HYPERLINK("https://klasma.github.io/Logging_1481/tillsynsmail/A 393-2025 tillsynsbegäran mail.docx", "A 393-2025")</f>
        <v/>
      </c>
      <c r="AE6">
        <f>HYPERLINK("https://klasma.github.io/Logging_1481/fåglar/A 393-2025 prioriterade fågelarter.docx", "A 393-2025")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46226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46226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46226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46226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46226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Tjäder</t>
        </is>
      </c>
      <c r="W11">
        <f>HYPERLINK("https://klasma.github.io/Logging_1481/artfynd/A 2842-2025 artfynd.xlsx", "A 2842-2025")</f>
        <v/>
      </c>
      <c r="X11">
        <f>HYPERLINK("https://klasma.github.io/Logging_1481/kartor/A 2842-2025 karta.png", "A 2842-2025")</f>
        <v/>
      </c>
      <c r="Y11">
        <f>HYPERLINK("https://klasma.github.io/Logging_1481/kartor_geotiff/A 2842-2025 georefererad karta.tif", "A 2842-2025")</f>
        <v/>
      </c>
      <c r="AA11">
        <f>HYPERLINK("https://klasma.github.io/Logging_1481/klagomål/A 2842-2025 FSC-klagomål.docx", "A 2842-2025")</f>
        <v/>
      </c>
      <c r="AB11">
        <f>HYPERLINK("https://klasma.github.io/Logging_1481/klagomålsmail/A 2842-2025 FSC-klagomål mail.docx", "A 2842-2025")</f>
        <v/>
      </c>
      <c r="AC11">
        <f>HYPERLINK("https://klasma.github.io/Logging_1481/tillsyn/A 2842-2025 tillsynsbegäran.docx", "A 2842-2025")</f>
        <v/>
      </c>
      <c r="AD11">
        <f>HYPERLINK("https://klasma.github.io/Logging_1481/tillsynsmail/A 2842-2025 tillsynsbegäran mail.docx", "A 2842-2025")</f>
        <v/>
      </c>
      <c r="AE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46226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46226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46226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46226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Fiskgjuse</t>
        </is>
      </c>
      <c r="W15">
        <f>HYPERLINK("https://klasma.github.io/Logging_1481/artfynd/A 46379-2025 artfynd.xlsx", "A 46379-2025")</f>
        <v/>
      </c>
      <c r="X15">
        <f>HYPERLINK("https://klasma.github.io/Logging_1481/kartor/A 46379-2025 karta.png", "A 46379-2025")</f>
        <v/>
      </c>
      <c r="Y15">
        <f>HYPERLINK("https://klasma.github.io/Logging_1481/kartor_geotiff/A 46379-2025 georefererad karta.tif", "A 46379-2025")</f>
        <v/>
      </c>
      <c r="AA15">
        <f>HYPERLINK("https://klasma.github.io/Logging_1481/klagomål/A 46379-2025 FSC-klagomål.docx", "A 46379-2025")</f>
        <v/>
      </c>
      <c r="AB15">
        <f>HYPERLINK("https://klasma.github.io/Logging_1481/klagomålsmail/A 46379-2025 FSC-klagomål mail.docx", "A 46379-2025")</f>
        <v/>
      </c>
      <c r="AC15">
        <f>HYPERLINK("https://klasma.github.io/Logging_1481/tillsyn/A 46379-2025 tillsynsbegäran.docx", "A 46379-2025")</f>
        <v/>
      </c>
      <c r="AD15">
        <f>HYPERLINK("https://klasma.github.io/Logging_1481/tillsynsmail/A 46379-2025 tillsynsbegäran mail.docx", "A 46379-2025")</f>
        <v/>
      </c>
      <c r="AE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46226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46226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46226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46226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46226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46226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46226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46226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46226</v>
      </c>
      <c r="F24" t="inlineStr">
        <is>
          <t>VÄSTRA GÖTALANDS LÄN</t>
        </is>
      </c>
      <c r="G24" t="inlineStr">
        <is>
          <t>MÖLNDAL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43067-2024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46226</v>
      </c>
      <c r="F25" t="inlineStr">
        <is>
          <t>VÄSTRA GÖTALANDS LÄN</t>
        </is>
      </c>
      <c r="G25" t="inlineStr">
        <is>
          <t>MÖLNDAL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45378</v>
      </c>
      <c r="E26" s="1" t="n">
        <v>46226</v>
      </c>
      <c r="F26" t="inlineStr">
        <is>
          <t>VÄSTRA GÖTALANDS LÄN</t>
        </is>
      </c>
      <c r="G26" t="inlineStr">
        <is>
          <t>MÖLNDAL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46226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10672-2026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46078</v>
      </c>
      <c r="E28" s="1" t="n">
        <v>46226</v>
      </c>
      <c r="F28" t="inlineStr">
        <is>
          <t>VÄSTRA GÖTALANDS LÄN</t>
        </is>
      </c>
      <c r="G28" t="inlineStr">
        <is>
          <t>MÖLNDAL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46226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46226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46226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45072</v>
      </c>
      <c r="E32" s="1" t="n">
        <v>46226</v>
      </c>
      <c r="F32" t="inlineStr">
        <is>
          <t>VÄSTRA GÖTALANDS LÄN</t>
        </is>
      </c>
      <c r="G32" t="inlineStr">
        <is>
          <t>MÖLNDAL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45880</v>
      </c>
      <c r="E33" s="1" t="n">
        <v>46226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46226</v>
      </c>
      <c r="F34" t="inlineStr">
        <is>
          <t>VÄSTRA GÖTALANDS LÄN</t>
        </is>
      </c>
      <c r="G34" t="inlineStr">
        <is>
          <t>MÖLNDAL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45271</v>
      </c>
      <c r="E35" s="1" t="n">
        <v>46226</v>
      </c>
      <c r="F35" t="inlineStr">
        <is>
          <t>VÄSTRA GÖTALANDS LÄN</t>
        </is>
      </c>
      <c r="G35" t="inlineStr">
        <is>
          <t>MÖLNDAL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45321</v>
      </c>
      <c r="E36" s="1" t="n">
        <v>46226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46226</v>
      </c>
      <c r="F37" t="inlineStr">
        <is>
          <t>VÄSTRA GÖTALANDS LÄN</t>
        </is>
      </c>
      <c r="G37" t="inlineStr">
        <is>
          <t>MÖLNDAL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45337</v>
      </c>
      <c r="E38" s="1" t="n">
        <v>46226</v>
      </c>
      <c r="F38" t="inlineStr">
        <is>
          <t>VÄSTRA GÖTALANDS LÄN</t>
        </is>
      </c>
      <c r="G38" t="inlineStr">
        <is>
          <t>MÖLNDAL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21477-2025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46226</v>
      </c>
      <c r="F39" t="inlineStr">
        <is>
          <t>VÄSTRA GÖTALANDS LÄN</t>
        </is>
      </c>
      <c r="G39" t="inlineStr">
        <is>
          <t>MÖLNDAL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46226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46226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46226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60809-2024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46226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46226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46226</v>
      </c>
      <c r="F45" t="inlineStr">
        <is>
          <t>VÄSTRA GÖTALANDS LÄN</t>
        </is>
      </c>
      <c r="G45" t="inlineStr">
        <is>
          <t>MÖLNDAL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45240</v>
      </c>
      <c r="E46" s="1" t="n">
        <v>46226</v>
      </c>
      <c r="F46" t="inlineStr">
        <is>
          <t>VÄSTRA GÖTALANDS LÄN</t>
        </is>
      </c>
      <c r="G46" t="inlineStr">
        <is>
          <t>MÖLNDAL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46226</v>
      </c>
      <c r="F47" t="inlineStr">
        <is>
          <t>VÄSTRA GÖTALANDS LÄN</t>
        </is>
      </c>
      <c r="G47" t="inlineStr">
        <is>
          <t>MÖLNDAL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46226</v>
      </c>
      <c r="F48" t="inlineStr">
        <is>
          <t>VÄSTRA GÖTALANDS LÄN</t>
        </is>
      </c>
      <c r="G48" t="inlineStr">
        <is>
          <t>MÖLNDAL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46226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46226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2026-07-23T01:41:52Z</dcterms:created>
  <dcterms:modified xmlns:dcterms="http://purl.org/dc/terms/" xmlns:xsi="http://www.w3.org/2001/XMLSchema-instance" xsi:type="dcterms:W3CDTF">2026-07-23T01:41:52Z</dcterms:modified>
</cp:coreProperties>
</file>