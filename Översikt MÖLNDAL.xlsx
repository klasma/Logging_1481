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46275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46275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46275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46275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46275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46275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23796-2026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46164</v>
      </c>
      <c r="E9" s="1" t="n">
        <v>46275</v>
      </c>
      <c r="F9" t="inlineStr">
        <is>
          <t>VÄSTRA GÖTALANDS LÄN</t>
        </is>
      </c>
      <c r="G9" t="inlineStr">
        <is>
          <t>MÖLNDAL</t>
        </is>
      </c>
      <c r="I9" t="n">
        <v>3.6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Vitplätt
Tjäder</t>
        </is>
      </c>
      <c r="W9">
        <f>HYPERLINK("https://klasma.github.io/Logging_1481/artfynd/A 23796-2026 artfynd.xlsx", "A 23796-2026")</f>
        <v/>
      </c>
      <c r="X9">
        <f>HYPERLINK("https://klasma.github.io/Logging_1481/kartor/A 23796-2026 karta.png", "A 23796-2026")</f>
        <v/>
      </c>
      <c r="Y9">
        <f>HYPERLINK("https://klasma.github.io/Logging_1481/kartor_geotiff/A 23796-2026 georefererad karta.tif", "A 23796-2026")</f>
        <v/>
      </c>
      <c r="AA9">
        <f>HYPERLINK("https://klasma.github.io/Logging_1481/klagomål/A 23796-2026 FSC-klagomål.docx", "A 23796-2026")</f>
        <v/>
      </c>
      <c r="AB9">
        <f>HYPERLINK("https://klasma.github.io/Logging_1481/klagomålsmail/A 23796-2026 FSC-klagomål mail.docx", "A 23796-2026")</f>
        <v/>
      </c>
      <c r="AC9">
        <f>HYPERLINK("https://klasma.github.io/Logging_1481/tillsyn/A 23796-2026 tillsynsbegäran.docx", "A 23796-2026")</f>
        <v/>
      </c>
      <c r="AD9">
        <f>HYPERLINK("https://klasma.github.io/Logging_1481/tillsynsmail/A 23796-2026 tillsynsbegäran mail.docx", "A 23796-2026")</f>
        <v/>
      </c>
      <c r="AE9">
        <f>HYPERLINK("https://klasma.github.io/Logging_1481/fåglar/A 23796-2026 prioriterade fågelarter.docx", "A 23796-2026")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46275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46275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46275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46275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46275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46275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46275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46275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46275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46275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46275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46275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45659</v>
      </c>
      <c r="E23" s="1" t="n">
        <v>46275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26650-2022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44739</v>
      </c>
      <c r="E24" s="1" t="n">
        <v>46275</v>
      </c>
      <c r="F24" t="inlineStr">
        <is>
          <t>VÄSTRA GÖTALANDS LÄN</t>
        </is>
      </c>
      <c r="G24" t="inlineStr">
        <is>
          <t>MÖLNDAL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46275</v>
      </c>
      <c r="F25" t="inlineStr">
        <is>
          <t>VÄSTRA GÖTALANDS LÄN</t>
        </is>
      </c>
      <c r="G25" t="inlineStr">
        <is>
          <t>MÖLNDAL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11256-2024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45371</v>
      </c>
      <c r="E26" s="1" t="n">
        <v>46275</v>
      </c>
      <c r="F26" t="inlineStr">
        <is>
          <t>VÄSTRA GÖTALANDS LÄN</t>
        </is>
      </c>
      <c r="G26" t="inlineStr">
        <is>
          <t>MÖLNDAL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46275</v>
      </c>
      <c r="F27" t="inlineStr">
        <is>
          <t>VÄSTRA GÖTALANDS LÄN</t>
        </is>
      </c>
      <c r="G27" t="inlineStr">
        <is>
          <t>MÖLNDAL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56133-2023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45240</v>
      </c>
      <c r="E28" s="1" t="n">
        <v>46275</v>
      </c>
      <c r="F28" t="inlineStr">
        <is>
          <t>VÄSTRA GÖTALANDS LÄN</t>
        </is>
      </c>
      <c r="G28" t="inlineStr">
        <is>
          <t>MÖLNDAL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62804-2023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46275</v>
      </c>
      <c r="F29" t="inlineStr">
        <is>
          <t>VÄSTRA GÖTALANDS LÄN</t>
        </is>
      </c>
      <c r="G29" t="inlineStr">
        <is>
          <t>MÖLNDAL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22953-2023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45072</v>
      </c>
      <c r="E30" s="1" t="n">
        <v>46275</v>
      </c>
      <c r="F30" t="inlineStr">
        <is>
          <t>VÄSTRA GÖTALANDS LÄN</t>
        </is>
      </c>
      <c r="G30" t="inlineStr">
        <is>
          <t>MÖLNDAL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19295-2025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46275</v>
      </c>
      <c r="F31" t="inlineStr">
        <is>
          <t>VÄSTRA GÖTALANDS LÄN</t>
        </is>
      </c>
      <c r="G31" t="inlineStr">
        <is>
          <t>MÖLNDAL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46275</v>
      </c>
      <c r="F32" t="inlineStr">
        <is>
          <t>VÄSTRA GÖTALANDS LÄN</t>
        </is>
      </c>
      <c r="G32" t="inlineStr">
        <is>
          <t>MÖLNDAL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43067-2024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45567</v>
      </c>
      <c r="E33" s="1" t="n">
        <v>46275</v>
      </c>
      <c r="F33" t="inlineStr">
        <is>
          <t>VÄSTRA GÖTALANDS LÄN</t>
        </is>
      </c>
      <c r="G33" t="inlineStr">
        <is>
          <t>MÖLNDAL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46275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45441</v>
      </c>
      <c r="E35" s="1" t="n">
        <v>46275</v>
      </c>
      <c r="F35" t="inlineStr">
        <is>
          <t>VÄSTRA GÖTALANDS LÄN</t>
        </is>
      </c>
      <c r="G35" t="inlineStr">
        <is>
          <t>MÖLNDAL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46275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12977-2025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45734</v>
      </c>
      <c r="E37" s="1" t="n">
        <v>46275</v>
      </c>
      <c r="F37" t="inlineStr">
        <is>
          <t>VÄSTRA GÖTALANDS LÄN</t>
        </is>
      </c>
      <c r="G37" t="inlineStr">
        <is>
          <t>MÖLNDAL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45321</v>
      </c>
      <c r="E38" s="1" t="n">
        <v>46275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45127</v>
      </c>
      <c r="E39" s="1" t="n">
        <v>46275</v>
      </c>
      <c r="F39" t="inlineStr">
        <is>
          <t>VÄSTRA GÖTALANDS LÄN</t>
        </is>
      </c>
      <c r="G39" t="inlineStr">
        <is>
          <t>MÖLNDAL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37570-2025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45880</v>
      </c>
      <c r="E40" s="1" t="n">
        <v>46275</v>
      </c>
      <c r="F40" t="inlineStr">
        <is>
          <t>VÄSTRA GÖTALANDS LÄN</t>
        </is>
      </c>
      <c r="G40" t="inlineStr">
        <is>
          <t>MÖLNDAL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45371</v>
      </c>
      <c r="E41" s="1" t="n">
        <v>46275</v>
      </c>
      <c r="F41" t="inlineStr">
        <is>
          <t>VÄSTRA GÖTALANDS LÄN</t>
        </is>
      </c>
      <c r="G41" t="inlineStr">
        <is>
          <t>MÖLNDAL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44586</v>
      </c>
      <c r="E42" s="1" t="n">
        <v>46275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45084</v>
      </c>
      <c r="E43" s="1" t="n">
        <v>46275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61178-2024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46275</v>
      </c>
      <c r="F44" t="inlineStr">
        <is>
          <t>VÄSTRA GÖTALANDS LÄN</t>
        </is>
      </c>
      <c r="G44" t="inlineStr">
        <is>
          <t>MÖLNDAL</t>
        </is>
      </c>
      <c r="I44" t="n">
        <v>6.6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10661-2026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46275</v>
      </c>
      <c r="F45" t="inlineStr">
        <is>
          <t>VÄSTRA GÖTALANDS LÄN</t>
        </is>
      </c>
      <c r="G45" t="inlineStr">
        <is>
          <t>MÖLNDAL</t>
        </is>
      </c>
      <c r="H45" t="inlineStr">
        <is>
          <t>Kommuner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46078</v>
      </c>
      <c r="E46" s="1" t="n">
        <v>46275</v>
      </c>
      <c r="F46" t="inlineStr">
        <is>
          <t>VÄSTRA GÖTALANDS LÄN</t>
        </is>
      </c>
      <c r="G46" t="inlineStr">
        <is>
          <t>MÖLNDAL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10654-2026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46275</v>
      </c>
      <c r="F47" t="inlineStr">
        <is>
          <t>VÄSTRA GÖTALANDS LÄN</t>
        </is>
      </c>
      <c r="G47" t="inlineStr">
        <is>
          <t>MÖLNDAL</t>
        </is>
      </c>
      <c r="H47" t="inlineStr">
        <is>
          <t>Kommuner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46275</v>
      </c>
      <c r="F48" t="inlineStr">
        <is>
          <t>VÄSTRA GÖTALANDS LÄN</t>
        </is>
      </c>
      <c r="G48" t="inlineStr">
        <is>
          <t>MÖLNDAL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28291-2026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46196</v>
      </c>
      <c r="E49" s="1" t="n">
        <v>46275</v>
      </c>
      <c r="F49" t="inlineStr">
        <is>
          <t>VÄSTRA GÖTALANDS LÄN</t>
        </is>
      </c>
      <c r="G49" t="inlineStr">
        <is>
          <t>MÖLNDAL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32941-2026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46275</v>
      </c>
      <c r="F50" t="inlineStr">
        <is>
          <t>VÄSTRA GÖTALANDS LÄN</t>
        </is>
      </c>
      <c r="G50" t="inlineStr">
        <is>
          <t>MÖLNDAL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32581-2026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46239</v>
      </c>
      <c r="E51" s="1" t="n">
        <v>46275</v>
      </c>
      <c r="F51" t="inlineStr">
        <is>
          <t>VÄSTRA GÖTALANDS LÄN</t>
        </is>
      </c>
      <c r="G51" t="inlineStr">
        <is>
          <t>MÖLNDAL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35293-2026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46275</v>
      </c>
      <c r="F52" t="inlineStr">
        <is>
          <t>VÄSTRA GÖTALANDS LÄN</t>
        </is>
      </c>
      <c r="G52" t="inlineStr">
        <is>
          <t>MÖLNDAL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31828-2026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46230</v>
      </c>
      <c r="E53" s="1" t="n">
        <v>46275</v>
      </c>
      <c r="F53" t="inlineStr">
        <is>
          <t>VÄSTRA GÖTALANDS LÄN</t>
        </is>
      </c>
      <c r="G53" t="inlineStr">
        <is>
          <t>MÖLNDAL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46275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46275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2026-09-10T02:14:28Z</dcterms:created>
  <dcterms:modified xmlns:dcterms="http://purl.org/dc/terms/" xmlns:xsi="http://www.w3.org/2001/XMLSchema-instance" xsi:type="dcterms:W3CDTF">2026-09-10T02:14:28Z</dcterms:modified>
</cp:coreProperties>
</file>