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2842-2025</t>
        </is>
      </c>
      <c r="B4" s="1" t="n">
        <v>45677</v>
      </c>
      <c r="C4" s="1" t="n">
        <v>45917</v>
      </c>
      <c r="D4" t="inlineStr">
        <is>
          <t>VÄSTRA GÖTALANDS LÄN</t>
        </is>
      </c>
      <c r="E4" t="inlineStr">
        <is>
          <t>MÖLNDAL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Tjäder</t>
        </is>
      </c>
      <c r="S4">
        <f>HYPERLINK("https://klasma.github.io/Logging_1481/artfynd/A 2842-2025 artfynd.xlsx", "A 2842-2025")</f>
        <v/>
      </c>
      <c r="T4">
        <f>HYPERLINK("https://klasma.github.io/Logging_1481/kartor/A 2842-2025 karta.png", "A 2842-2025")</f>
        <v/>
      </c>
      <c r="V4">
        <f>HYPERLINK("https://klasma.github.io/Logging_1481/klagomål/A 2842-2025 FSC-klagomål.docx", "A 2842-2025")</f>
        <v/>
      </c>
      <c r="W4">
        <f>HYPERLINK("https://klasma.github.io/Logging_1481/klagomålsmail/A 2842-2025 FSC-klagomål mail.docx", "A 2842-2025")</f>
        <v/>
      </c>
      <c r="X4">
        <f>HYPERLINK("https://klasma.github.io/Logging_1481/tillsyn/A 2842-2025 tillsynsbegäran.docx", "A 2842-2025")</f>
        <v/>
      </c>
      <c r="Y4">
        <f>HYPERLINK("https://klasma.github.io/Logging_1481/tillsynsmail/A 2842-2025 tillsynsbegäran mail.docx", "A 2842-2025")</f>
        <v/>
      </c>
      <c r="Z4">
        <f>HYPERLINK("https://klasma.github.io/Logging_1481/fåglar/A 2842-2025 prioriterade fågelarter.docx", "A 2842-2025")</f>
        <v/>
      </c>
    </row>
    <row r="5" ht="15" customHeight="1">
      <c r="A5" t="inlineStr">
        <is>
          <t>A 34574-2025</t>
        </is>
      </c>
      <c r="B5" s="1" t="n">
        <v>45847.59914351852</v>
      </c>
      <c r="C5" s="1" t="n">
        <v>45917</v>
      </c>
      <c r="D5" t="inlineStr">
        <is>
          <t>VÄSTRA GÖTALANDS LÄN</t>
        </is>
      </c>
      <c r="E5" t="inlineStr">
        <is>
          <t>MÖLNDAL</t>
        </is>
      </c>
      <c r="G5" t="n">
        <v>7.4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HYPERLINK("https://klasma.github.io/Logging_1481/artfynd/A 34574-2025 artfynd.xlsx", "A 34574-2025")</f>
        <v/>
      </c>
      <c r="T5">
        <f>HYPERLINK("https://klasma.github.io/Logging_1481/kartor/A 34574-2025 karta.png", "A 34574-2025")</f>
        <v/>
      </c>
      <c r="V5">
        <f>HYPERLINK("https://klasma.github.io/Logging_1481/klagomål/A 34574-2025 FSC-klagomål.docx", "A 34574-2025")</f>
        <v/>
      </c>
      <c r="W5">
        <f>HYPERLINK("https://klasma.github.io/Logging_1481/klagomålsmail/A 34574-2025 FSC-klagomål mail.docx", "A 34574-2025")</f>
        <v/>
      </c>
      <c r="X5">
        <f>HYPERLINK("https://klasma.github.io/Logging_1481/tillsyn/A 34574-2025 tillsynsbegäran.docx", "A 34574-2025")</f>
        <v/>
      </c>
      <c r="Y5">
        <f>HYPERLINK("https://klasma.github.io/Logging_1481/tillsynsmail/A 34574-2025 tillsynsbegäran mail.docx", "A 34574-2025")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45917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45917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45917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45917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45917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45917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45917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45917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51537-2021</t>
        </is>
      </c>
      <c r="B20" s="1" t="n">
        <v>44462</v>
      </c>
      <c r="C20" s="1" t="n">
        <v>45917</v>
      </c>
      <c r="D20" t="inlineStr">
        <is>
          <t>VÄSTRA GÖTALANDS LÄN</t>
        </is>
      </c>
      <c r="E20" t="inlineStr">
        <is>
          <t>MÖLNDAL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45917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45917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45917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3811-2024</t>
        </is>
      </c>
      <c r="B24" s="1" t="n">
        <v>45321.673125</v>
      </c>
      <c r="C24" s="1" t="n">
        <v>45917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12473-2025</t>
        </is>
      </c>
      <c r="B25" s="1" t="n">
        <v>45730.56324074074</v>
      </c>
      <c r="C25" s="1" t="n">
        <v>45917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45917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45917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11261-2024</t>
        </is>
      </c>
      <c r="B28" s="1" t="n">
        <v>45371.67425925926</v>
      </c>
      <c r="C28" s="1" t="n">
        <v>45917</v>
      </c>
      <c r="D28" t="inlineStr">
        <is>
          <t>VÄSTRA GÖTALANDS LÄN</t>
        </is>
      </c>
      <c r="E28" t="inlineStr">
        <is>
          <t>MÖLNDAL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45917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24771-2023</t>
        </is>
      </c>
      <c r="B30" s="1" t="n">
        <v>45084.64277777778</v>
      </c>
      <c r="C30" s="1" t="n">
        <v>45917</v>
      </c>
      <c r="D30" t="inlineStr">
        <is>
          <t>VÄSTRA GÖTALANDS LÄN</t>
        </is>
      </c>
      <c r="E30" t="inlineStr">
        <is>
          <t>MÖLNDAL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8639-2023</t>
        </is>
      </c>
      <c r="B31" s="1" t="n">
        <v>44977.95614583333</v>
      </c>
      <c r="C31" s="1" t="n">
        <v>45917</v>
      </c>
      <c r="D31" t="inlineStr">
        <is>
          <t>VÄSTRA GÖTALANDS LÄN</t>
        </is>
      </c>
      <c r="E31" t="inlineStr">
        <is>
          <t>MÖLNDAL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45917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45917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45917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45917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6042-2024</t>
        </is>
      </c>
      <c r="B36" s="1" t="n">
        <v>45336</v>
      </c>
      <c r="C36" s="1" t="n">
        <v>45917</v>
      </c>
      <c r="D36" t="inlineStr">
        <is>
          <t>VÄSTRA GÖTALANDS LÄN</t>
        </is>
      </c>
      <c r="E36" t="inlineStr">
        <is>
          <t>MÖLNDAL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45917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45917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22953-2023</t>
        </is>
      </c>
      <c r="B39" s="1" t="n">
        <v>45072</v>
      </c>
      <c r="C39" s="1" t="n">
        <v>45917</v>
      </c>
      <c r="D39" t="inlineStr">
        <is>
          <t>VÄSTRA GÖTALANDS LÄN</t>
        </is>
      </c>
      <c r="E39" t="inlineStr">
        <is>
          <t>MÖLNDAL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45917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22033-2025</t>
        </is>
      </c>
      <c r="B41" s="1" t="n">
        <v>45785.29449074074</v>
      </c>
      <c r="C41" s="1" t="n">
        <v>45917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43067-2024</t>
        </is>
      </c>
      <c r="B42" s="1" t="n">
        <v>45567.47446759259</v>
      </c>
      <c r="C42" s="1" t="n">
        <v>45917</v>
      </c>
      <c r="D42" t="inlineStr">
        <is>
          <t>VÄSTRA GÖTALANDS LÄN</t>
        </is>
      </c>
      <c r="E42" t="inlineStr">
        <is>
          <t>MÖLNDAL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61167-2024</t>
        </is>
      </c>
      <c r="B43" s="1" t="n">
        <v>45645</v>
      </c>
      <c r="C43" s="1" t="n">
        <v>45917</v>
      </c>
      <c r="D43" t="inlineStr">
        <is>
          <t>VÄSTRA GÖTALANDS LÄN</t>
        </is>
      </c>
      <c r="E43" t="inlineStr">
        <is>
          <t>MÖLNDAL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21536-2024</t>
        </is>
      </c>
      <c r="B44" s="1" t="n">
        <v>45441.59925925926</v>
      </c>
      <c r="C44" s="1" t="n">
        <v>45917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45917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19295-2025</t>
        </is>
      </c>
      <c r="B46" s="1" t="n">
        <v>45769.56212962963</v>
      </c>
      <c r="C46" s="1" t="n">
        <v>45917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2025-09-17T08:58:24Z</dcterms:created>
  <dcterms:modified xmlns:dcterms="http://purl.org/dc/terms/" xmlns:xsi="http://www.w3.org/2001/XMLSchema-instance" xsi:type="dcterms:W3CDTF">2025-09-17T08:58:24Z</dcterms:modified>
</cp:coreProperties>
</file>