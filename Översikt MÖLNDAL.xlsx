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46252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46252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46252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46252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46252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46252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46252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46252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46252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46252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46252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46252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46252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46252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46379-2025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45925</v>
      </c>
      <c r="E16" s="1" t="n">
        <v>46252</v>
      </c>
      <c r="F16" t="inlineStr">
        <is>
          <t>VÄSTRA GÖTALANDS LÄN</t>
        </is>
      </c>
      <c r="G16" t="inlineStr">
        <is>
          <t>MÖLNDAL</t>
        </is>
      </c>
      <c r="I16" t="n">
        <v>4.8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Fiskgjuse</t>
        </is>
      </c>
      <c r="W16">
        <f>HYPERLINK("https://klasma.github.io/Logging_1481/artfynd/A 46379-2025 artfynd.xlsx", "A 46379-2025")</f>
        <v/>
      </c>
      <c r="X16">
        <f>HYPERLINK("https://klasma.github.io/Logging_1481/kartor/A 46379-2025 karta.png", "A 46379-2025")</f>
        <v/>
      </c>
      <c r="Y16">
        <f>HYPERLINK("https://klasma.github.io/Logging_1481/kartor_geotiff/A 46379-2025 georefererad karta.tif", "A 46379-2025")</f>
        <v/>
      </c>
      <c r="AA16">
        <f>HYPERLINK("https://klasma.github.io/Logging_1481/klagomål/A 46379-2025 FSC-klagomål.docx", "A 46379-2025")</f>
        <v/>
      </c>
      <c r="AB16">
        <f>HYPERLINK("https://klasma.github.io/Logging_1481/klagomålsmail/A 46379-2025 FSC-klagomål mail.docx", "A 46379-2025")</f>
        <v/>
      </c>
      <c r="AC16">
        <f>HYPERLINK("https://klasma.github.io/Logging_1481/tillsyn/A 46379-2025 tillsynsbegäran.docx", "A 46379-2025")</f>
        <v/>
      </c>
      <c r="AD16">
        <f>HYPERLINK("https://klasma.github.io/Logging_1481/tillsynsmail/A 46379-2025 tillsynsbegäran mail.docx", "A 46379-2025")</f>
        <v/>
      </c>
      <c r="AE16">
        <f>HYPERLINK("https://klasma.github.io/Logging_1481/fåglar/A 46379-2025 prioriterade fågelarter.docx", "A 46379-2025")</f>
        <v/>
      </c>
    </row>
    <row r="17" ht="15" customHeight="1">
      <c r="A17" t="inlineStr">
        <is>
          <t>A 48265-2025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45933</v>
      </c>
      <c r="E17" s="1" t="n">
        <v>46252</v>
      </c>
      <c r="F17" t="inlineStr">
        <is>
          <t>VÄSTRA GÖTALANDS LÄN</t>
        </is>
      </c>
      <c r="G17" t="inlineStr">
        <is>
          <t>MÖLNDAL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Tjäder</t>
        </is>
      </c>
      <c r="W17">
        <f>HYPERLINK("https://klasma.github.io/Logging_1481/artfynd/A 48265-2025 artfynd.xlsx", "A 48265-2025")</f>
        <v/>
      </c>
      <c r="X17">
        <f>HYPERLINK("https://klasma.github.io/Logging_1481/kartor/A 48265-2025 karta.png", "A 48265-2025")</f>
        <v/>
      </c>
      <c r="Y17">
        <f>HYPERLINK("https://klasma.github.io/Logging_1481/kartor_geotiff/A 48265-2025 georefererad karta.tif", "A 48265-2025")</f>
        <v/>
      </c>
      <c r="AA17">
        <f>HYPERLINK("https://klasma.github.io/Logging_1481/klagomål/A 48265-2025 FSC-klagomål.docx", "A 48265-2025")</f>
        <v/>
      </c>
      <c r="AB17">
        <f>HYPERLINK("https://klasma.github.io/Logging_1481/klagomålsmail/A 48265-2025 FSC-klagomål mail.docx", "A 48265-2025")</f>
        <v/>
      </c>
      <c r="AC17">
        <f>HYPERLINK("https://klasma.github.io/Logging_1481/tillsyn/A 48265-2025 tillsynsbegäran.docx", "A 48265-2025")</f>
        <v/>
      </c>
      <c r="AD17">
        <f>HYPERLINK("https://klasma.github.io/Logging_1481/tillsynsmail/A 48265-2025 tillsynsbegäran mail.docx", "A 48265-2025")</f>
        <v/>
      </c>
      <c r="AE17">
        <f>HYPERLINK("https://klasma.github.io/Logging_1481/fåglar/A 48265-2025 prioriterade fågelarter.docx", "A 48265-2025")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46252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46252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46252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46252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46252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46252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46252</v>
      </c>
      <c r="F24" t="inlineStr">
        <is>
          <t>VÄSTRA GÖTALANDS LÄN</t>
        </is>
      </c>
      <c r="G24" t="inlineStr">
        <is>
          <t>MÖLNDAL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46252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45072</v>
      </c>
      <c r="E26" s="1" t="n">
        <v>46252</v>
      </c>
      <c r="F26" t="inlineStr">
        <is>
          <t>VÄSTRA GÖTALANDS LÄN</t>
        </is>
      </c>
      <c r="G26" t="inlineStr">
        <is>
          <t>MÖLNDAL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62804-2023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45271</v>
      </c>
      <c r="E27" s="1" t="n">
        <v>46252</v>
      </c>
      <c r="F27" t="inlineStr">
        <is>
          <t>VÄSTRA GÖTALANDS LÄN</t>
        </is>
      </c>
      <c r="G27" t="inlineStr">
        <is>
          <t>MÖLNDAL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46252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3811-2024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45321</v>
      </c>
      <c r="E29" s="1" t="n">
        <v>46252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46252</v>
      </c>
      <c r="F30" t="inlineStr">
        <is>
          <t>VÄSTRA GÖTALANDS LÄN</t>
        </is>
      </c>
      <c r="G30" t="inlineStr">
        <is>
          <t>MÖLNDAL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6258-2024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45337</v>
      </c>
      <c r="E31" s="1" t="n">
        <v>46252</v>
      </c>
      <c r="F31" t="inlineStr">
        <is>
          <t>VÄSTRA GÖTALANDS LÄN</t>
        </is>
      </c>
      <c r="G31" t="inlineStr">
        <is>
          <t>MÖLNDAL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45880</v>
      </c>
      <c r="E32" s="1" t="n">
        <v>46252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45441</v>
      </c>
      <c r="E33" s="1" t="n">
        <v>46252</v>
      </c>
      <c r="F33" t="inlineStr">
        <is>
          <t>VÄSTRA GÖTALANDS LÄN</t>
        </is>
      </c>
      <c r="G33" t="inlineStr">
        <is>
          <t>MÖLNDAL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45659</v>
      </c>
      <c r="E34" s="1" t="n">
        <v>46252</v>
      </c>
      <c r="F34" t="inlineStr">
        <is>
          <t>VÄSTRA GÖTALANDS LÄN</t>
        </is>
      </c>
      <c r="G34" t="inlineStr">
        <is>
          <t>MÖLNDAL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45567</v>
      </c>
      <c r="E35" s="1" t="n">
        <v>46252</v>
      </c>
      <c r="F35" t="inlineStr">
        <is>
          <t>VÄSTRA GÖTALANDS LÄN</t>
        </is>
      </c>
      <c r="G35" t="inlineStr">
        <is>
          <t>MÖLNDAL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12273-2024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46252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46252</v>
      </c>
      <c r="F37" t="inlineStr">
        <is>
          <t>VÄSTRA GÖTALANDS LÄN</t>
        </is>
      </c>
      <c r="G37" t="inlineStr">
        <is>
          <t>MÖLNDAL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61178-2024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46252</v>
      </c>
      <c r="F38" t="inlineStr">
        <is>
          <t>VÄSTRA GÖTALANDS LÄN</t>
        </is>
      </c>
      <c r="G38" t="inlineStr">
        <is>
          <t>MÖLNDAL</t>
        </is>
      </c>
      <c r="I38" t="n">
        <v>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60809-2024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46252</v>
      </c>
      <c r="F39" t="inlineStr">
        <is>
          <t>VÄSTRA GÖTALANDS LÄN</t>
        </is>
      </c>
      <c r="G39" t="inlineStr">
        <is>
          <t>MÖLNDAL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46230</v>
      </c>
      <c r="E40" s="1" t="n">
        <v>46252</v>
      </c>
      <c r="F40" t="inlineStr">
        <is>
          <t>VÄSTRA GÖTALANDS LÄN</t>
        </is>
      </c>
      <c r="G40" t="inlineStr">
        <is>
          <t>MÖLNDAL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46252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46252</v>
      </c>
      <c r="F42" t="inlineStr">
        <is>
          <t>VÄSTRA GÖTALANDS LÄN</t>
        </is>
      </c>
      <c r="G42" t="inlineStr">
        <is>
          <t>MÖLNDAL</t>
        </is>
      </c>
      <c r="H42" t="inlineStr">
        <is>
          <t>Kommuner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10654-2026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46252</v>
      </c>
      <c r="F43" t="inlineStr">
        <is>
          <t>VÄSTRA GÖTALANDS LÄN</t>
        </is>
      </c>
      <c r="G43" t="inlineStr">
        <is>
          <t>MÖLNDAL</t>
        </is>
      </c>
      <c r="H43" t="inlineStr">
        <is>
          <t>Kommuner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46252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46252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32581-2026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46239</v>
      </c>
      <c r="E46" s="1" t="n">
        <v>46252</v>
      </c>
      <c r="F46" t="inlineStr">
        <is>
          <t>VÄSTRA GÖTALANDS LÄN</t>
        </is>
      </c>
      <c r="G46" t="inlineStr">
        <is>
          <t>MÖLNDAL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24771-2023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45084</v>
      </c>
      <c r="E47" s="1" t="n">
        <v>46252</v>
      </c>
      <c r="F47" t="inlineStr">
        <is>
          <t>VÄSTRA GÖTALANDS LÄN</t>
        </is>
      </c>
      <c r="G47" t="inlineStr">
        <is>
          <t>MÖLNDAL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46252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56133-2023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45240</v>
      </c>
      <c r="E49" s="1" t="n">
        <v>46252</v>
      </c>
      <c r="F49" t="inlineStr">
        <is>
          <t>VÄSTRA GÖTALANDS LÄN</t>
        </is>
      </c>
      <c r="G49" t="inlineStr">
        <is>
          <t>MÖLNDAL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45371</v>
      </c>
      <c r="E50" s="1" t="n">
        <v>46252</v>
      </c>
      <c r="F50" t="inlineStr">
        <is>
          <t>VÄSTRA GÖTALANDS LÄN</t>
        </is>
      </c>
      <c r="G50" t="inlineStr">
        <is>
          <t>MÖLNDAL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46252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21477-2025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45782</v>
      </c>
      <c r="E52" s="1" t="n">
        <v>46252</v>
      </c>
      <c r="F52" t="inlineStr">
        <is>
          <t>VÄSTRA GÖTALANDS LÄN</t>
        </is>
      </c>
      <c r="G52" t="inlineStr">
        <is>
          <t>MÖLNDAL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46252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46252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2026-08-18T01:45:39Z</dcterms:created>
  <dcterms:modified xmlns:dcterms="http://purl.org/dc/terms/" xmlns:xsi="http://www.w3.org/2001/XMLSchema-instance" xsi:type="dcterms:W3CDTF">2026-08-18T01:45:39Z</dcterms:modified>
</cp:coreProperties>
</file>