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46284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46284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46284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46284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46284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46284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46284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46284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46284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46284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46284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48265-2025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45933</v>
      </c>
      <c r="E13" s="1" t="n">
        <v>46284</v>
      </c>
      <c r="F13" t="inlineStr">
        <is>
          <t>VÄSTRA GÖTALANDS LÄN</t>
        </is>
      </c>
      <c r="G13" t="inlineStr">
        <is>
          <t>MÖLNDAL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48265-2025 artfynd.xlsx", "A 48265-2025")</f>
        <v/>
      </c>
      <c r="X13">
        <f>HYPERLINK("https://klasma.github.io/Logging_1481/kartor/A 48265-2025 karta.png", "A 48265-2025")</f>
        <v/>
      </c>
      <c r="Y13">
        <f>HYPERLINK("https://klasma.github.io/Logging_1481/kartor_geotiff/A 48265-2025 georefererad karta.tif", "A 48265-2025")</f>
        <v/>
      </c>
      <c r="AA13">
        <f>HYPERLINK("https://klasma.github.io/Logging_1481/klagomål/A 48265-2025 FSC-klagomål.docx", "A 48265-2025")</f>
        <v/>
      </c>
      <c r="AB13">
        <f>HYPERLINK("https://klasma.github.io/Logging_1481/klagomålsmail/A 48265-2025 FSC-klagomål mail.docx", "A 48265-2025")</f>
        <v/>
      </c>
      <c r="AC13">
        <f>HYPERLINK("https://klasma.github.io/Logging_1481/tillsyn/A 48265-2025 tillsynsbegäran.docx", "A 48265-2025")</f>
        <v/>
      </c>
      <c r="AD13">
        <f>HYPERLINK("https://klasma.github.io/Logging_1481/tillsynsmail/A 48265-2025 tillsynsbegäran mail.docx", "A 48265-2025")</f>
        <v/>
      </c>
      <c r="AE13">
        <f>HYPERLINK("https://klasma.github.io/Logging_1481/fåglar/A 48265-2025 prioriterade fågelarter.docx", "A 48265-2025")</f>
        <v/>
      </c>
    </row>
    <row r="14" ht="15" customHeight="1">
      <c r="A14" t="inlineStr">
        <is>
          <t>A 46379-2025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45925</v>
      </c>
      <c r="E14" s="1" t="n">
        <v>46284</v>
      </c>
      <c r="F14" t="inlineStr">
        <is>
          <t>VÄSTRA GÖTALANDS LÄN</t>
        </is>
      </c>
      <c r="G14" t="inlineStr">
        <is>
          <t>MÖLNDAL</t>
        </is>
      </c>
      <c r="I14" t="n">
        <v>4.8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Fiskgjuse</t>
        </is>
      </c>
      <c r="W14">
        <f>HYPERLINK("https://klasma.github.io/Logging_1481/artfynd/A 46379-2025 artfynd.xlsx", "A 46379-2025")</f>
        <v/>
      </c>
      <c r="X14">
        <f>HYPERLINK("https://klasma.github.io/Logging_1481/kartor/A 46379-2025 karta.png", "A 46379-2025")</f>
        <v/>
      </c>
      <c r="Y14">
        <f>HYPERLINK("https://klasma.github.io/Logging_1481/kartor_geotiff/A 46379-2025 georefererad karta.tif", "A 46379-2025")</f>
        <v/>
      </c>
      <c r="AA14">
        <f>HYPERLINK("https://klasma.github.io/Logging_1481/klagomål/A 46379-2025 FSC-klagomål.docx", "A 46379-2025")</f>
        <v/>
      </c>
      <c r="AB14">
        <f>HYPERLINK("https://klasma.github.io/Logging_1481/klagomålsmail/A 46379-2025 FSC-klagomål mail.docx", "A 46379-2025")</f>
        <v/>
      </c>
      <c r="AC14">
        <f>HYPERLINK("https://klasma.github.io/Logging_1481/tillsyn/A 46379-2025 tillsynsbegäran.docx", "A 46379-2025")</f>
        <v/>
      </c>
      <c r="AD14">
        <f>HYPERLINK("https://klasma.github.io/Logging_1481/tillsynsmail/A 46379-2025 tillsynsbegäran mail.docx", "A 46379-2025")</f>
        <v/>
      </c>
      <c r="AE14">
        <f>HYPERLINK("https://klasma.github.io/Logging_1481/fåglar/A 46379-2025 prioriterade fågelarter.docx", "A 46379-2025")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46284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46284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46284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46284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46284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46284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46284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46284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46284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46284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46284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46284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46284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46284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22953-2023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45072</v>
      </c>
      <c r="E29" s="1" t="n">
        <v>46284</v>
      </c>
      <c r="F29" t="inlineStr">
        <is>
          <t>VÄSTRA GÖTALANDS LÄN</t>
        </is>
      </c>
      <c r="G29" t="inlineStr">
        <is>
          <t>MÖLNDAL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46284</v>
      </c>
      <c r="F30" t="inlineStr">
        <is>
          <t>VÄSTRA GÖTALANDS LÄN</t>
        </is>
      </c>
      <c r="G30" t="inlineStr">
        <is>
          <t>MÖLNDAL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46284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46284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45337</v>
      </c>
      <c r="E33" s="1" t="n">
        <v>46284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45659</v>
      </c>
      <c r="E34" s="1" t="n">
        <v>46284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46284</v>
      </c>
      <c r="F35" t="inlineStr">
        <is>
          <t>VÄSTRA GÖTALANDS LÄN</t>
        </is>
      </c>
      <c r="G35" t="inlineStr">
        <is>
          <t>MÖLNDAL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46284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21477-2025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46284</v>
      </c>
      <c r="F37" t="inlineStr">
        <is>
          <t>VÄSTRA GÖTALANDS LÄN</t>
        </is>
      </c>
      <c r="G37" t="inlineStr">
        <is>
          <t>MÖLNDAL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60809-2024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46284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46284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46284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46284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46284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46284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46284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46284</v>
      </c>
      <c r="F45" t="inlineStr">
        <is>
          <t>VÄSTRA GÖTALANDS LÄN</t>
        </is>
      </c>
      <c r="G45" t="inlineStr">
        <is>
          <t>MÖLNDAL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46284</v>
      </c>
      <c r="F46" t="inlineStr">
        <is>
          <t>VÄSTRA GÖTALANDS LÄN</t>
        </is>
      </c>
      <c r="G46" t="inlineStr">
        <is>
          <t>MÖLNDAL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46284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46284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46284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46230</v>
      </c>
      <c r="E50" s="1" t="n">
        <v>46284</v>
      </c>
      <c r="F50" t="inlineStr">
        <is>
          <t>VÄSTRA GÖTALANDS LÄN</t>
        </is>
      </c>
      <c r="G50" t="inlineStr">
        <is>
          <t>MÖLNDAL</t>
        </is>
      </c>
      <c r="I50" t="n">
        <v>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46281</v>
      </c>
      <c r="E51" s="1" t="n">
        <v>46284</v>
      </c>
      <c r="F51" t="inlineStr">
        <is>
          <t>VÄSTRA GÖTALANDS LÄN</t>
        </is>
      </c>
      <c r="G51" t="inlineStr">
        <is>
          <t>MÖLNDAL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46284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45127</v>
      </c>
      <c r="E53" s="1" t="n">
        <v>46284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45880</v>
      </c>
      <c r="E54" s="1" t="n">
        <v>46284</v>
      </c>
      <c r="F54" t="inlineStr">
        <is>
          <t>VÄSTRA GÖTALANDS LÄN</t>
        </is>
      </c>
      <c r="G54" t="inlineStr">
        <is>
          <t>MÖLNDAL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46284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46284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2026-09-19T02:03:43Z</dcterms:created>
  <dcterms:modified xmlns:dcterms="http://purl.org/dc/terms/" xmlns:xsi="http://www.w3.org/2001/XMLSchema-instance" xsi:type="dcterms:W3CDTF">2026-09-19T02:03:43Z</dcterms:modified>
</cp:coreProperties>
</file>