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45924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45924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2842-2025</t>
        </is>
      </c>
      <c r="B4" s="1" t="n">
        <v>45677</v>
      </c>
      <c r="C4" s="1" t="n">
        <v>45924</v>
      </c>
      <c r="D4" t="inlineStr">
        <is>
          <t>VÄSTRA GÖTALANDS LÄN</t>
        </is>
      </c>
      <c r="E4" t="inlineStr">
        <is>
          <t>MÖLNDAL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Tjäder</t>
        </is>
      </c>
      <c r="S4">
        <f>HYPERLINK("https://klasma.github.io/Logging_1481/artfynd/A 2842-2025 artfynd.xlsx", "A 2842-2025")</f>
        <v/>
      </c>
      <c r="T4">
        <f>HYPERLINK("https://klasma.github.io/Logging_1481/kartor/A 2842-2025 karta.png", "A 2842-2025")</f>
        <v/>
      </c>
      <c r="V4">
        <f>HYPERLINK("https://klasma.github.io/Logging_1481/klagomål/A 2842-2025 FSC-klagomål.docx", "A 2842-2025")</f>
        <v/>
      </c>
      <c r="W4">
        <f>HYPERLINK("https://klasma.github.io/Logging_1481/klagomålsmail/A 2842-2025 FSC-klagomål mail.docx", "A 2842-2025")</f>
        <v/>
      </c>
      <c r="X4">
        <f>HYPERLINK("https://klasma.github.io/Logging_1481/tillsyn/A 2842-2025 tillsynsbegäran.docx", "A 2842-2025")</f>
        <v/>
      </c>
      <c r="Y4">
        <f>HYPERLINK("https://klasma.github.io/Logging_1481/tillsynsmail/A 2842-2025 tillsynsbegäran mail.docx", "A 2842-2025")</f>
        <v/>
      </c>
      <c r="Z4">
        <f>HYPERLINK("https://klasma.github.io/Logging_1481/fåglar/A 2842-2025 prioriterade fågelarter.docx", "A 2842-2025")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45924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45924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45924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45924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45924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45924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45924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45924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45924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45924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45924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45924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45924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3673-2022</t>
        </is>
      </c>
      <c r="B18" s="1" t="n">
        <v>44586.54415509259</v>
      </c>
      <c r="C18" s="1" t="n">
        <v>45924</v>
      </c>
      <c r="D18" t="inlineStr">
        <is>
          <t>VÄSTRA GÖTALANDS LÄN</t>
        </is>
      </c>
      <c r="E18" t="inlineStr">
        <is>
          <t>MÖLNDAL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63883-2020</t>
        </is>
      </c>
      <c r="B19" s="1" t="n">
        <v>44166</v>
      </c>
      <c r="C19" s="1" t="n">
        <v>45924</v>
      </c>
      <c r="D19" t="inlineStr">
        <is>
          <t>VÄSTRA GÖTALANDS LÄN</t>
        </is>
      </c>
      <c r="E19" t="inlineStr">
        <is>
          <t>MÖLNDAL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3811-2024</t>
        </is>
      </c>
      <c r="B20" s="1" t="n">
        <v>45321.673125</v>
      </c>
      <c r="C20" s="1" t="n">
        <v>45924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26650-2022</t>
        </is>
      </c>
      <c r="B21" s="1" t="n">
        <v>44739.6103125</v>
      </c>
      <c r="C21" s="1" t="n">
        <v>45924</v>
      </c>
      <c r="D21" t="inlineStr">
        <is>
          <t>VÄSTRA GÖTALANDS LÄN</t>
        </is>
      </c>
      <c r="E21" t="inlineStr">
        <is>
          <t>MÖLNDAL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3676-2022</t>
        </is>
      </c>
      <c r="B22" s="1" t="n">
        <v>44586</v>
      </c>
      <c r="C22" s="1" t="n">
        <v>45924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6258-2024</t>
        </is>
      </c>
      <c r="B23" s="1" t="n">
        <v>45337.77947916667</v>
      </c>
      <c r="C23" s="1" t="n">
        <v>45924</v>
      </c>
      <c r="D23" t="inlineStr">
        <is>
          <t>VÄSTRA GÖTALANDS LÄN</t>
        </is>
      </c>
      <c r="E23" t="inlineStr">
        <is>
          <t>MÖLNDAL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45924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61178-2024</t>
        </is>
      </c>
      <c r="B25" s="1" t="n">
        <v>45645</v>
      </c>
      <c r="C25" s="1" t="n">
        <v>45924</v>
      </c>
      <c r="D25" t="inlineStr">
        <is>
          <t>VÄSTRA GÖTALANDS LÄN</t>
        </is>
      </c>
      <c r="E25" t="inlineStr">
        <is>
          <t>MÖLNDAL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88-2025</t>
        </is>
      </c>
      <c r="B26" s="1" t="n">
        <v>45659.46386574074</v>
      </c>
      <c r="C26" s="1" t="n">
        <v>45924</v>
      </c>
      <c r="D26" t="inlineStr">
        <is>
          <t>VÄSTRA GÖTALANDS LÄN</t>
        </is>
      </c>
      <c r="E26" t="inlineStr">
        <is>
          <t>MÖLNDAL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12977-2025</t>
        </is>
      </c>
      <c r="B27" s="1" t="n">
        <v>45734.45465277778</v>
      </c>
      <c r="C27" s="1" t="n">
        <v>45924</v>
      </c>
      <c r="D27" t="inlineStr">
        <is>
          <t>VÄSTRA GÖTALANDS LÄN</t>
        </is>
      </c>
      <c r="E27" t="inlineStr">
        <is>
          <t>MÖLNDAL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12473-2025</t>
        </is>
      </c>
      <c r="B28" s="1" t="n">
        <v>45730.56324074074</v>
      </c>
      <c r="C28" s="1" t="n">
        <v>45924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8639-2023</t>
        </is>
      </c>
      <c r="B29" s="1" t="n">
        <v>44977.95614583333</v>
      </c>
      <c r="C29" s="1" t="n">
        <v>45924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21536-2024</t>
        </is>
      </c>
      <c r="B30" s="1" t="n">
        <v>45441.59925925926</v>
      </c>
      <c r="C30" s="1" t="n">
        <v>45924</v>
      </c>
      <c r="D30" t="inlineStr">
        <is>
          <t>VÄSTRA GÖTALANDS LÄN</t>
        </is>
      </c>
      <c r="E30" t="inlineStr">
        <is>
          <t>MÖLNDAL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43067-2024</t>
        </is>
      </c>
      <c r="B31" s="1" t="n">
        <v>45567.47446759259</v>
      </c>
      <c r="C31" s="1" t="n">
        <v>45924</v>
      </c>
      <c r="D31" t="inlineStr">
        <is>
          <t>VÄSTRA GÖTALANDS LÄN</t>
        </is>
      </c>
      <c r="E31" t="inlineStr">
        <is>
          <t>MÖLNDAL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12273-2024</t>
        </is>
      </c>
      <c r="B32" s="1" t="n">
        <v>45378.47817129629</v>
      </c>
      <c r="C32" s="1" t="n">
        <v>45924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60809-2024</t>
        </is>
      </c>
      <c r="B33" s="1" t="n">
        <v>45644.61414351852</v>
      </c>
      <c r="C33" s="1" t="n">
        <v>45924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33201-2023</t>
        </is>
      </c>
      <c r="B34" s="1" t="n">
        <v>45127.42379629629</v>
      </c>
      <c r="C34" s="1" t="n">
        <v>45924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6042-2024</t>
        </is>
      </c>
      <c r="B35" s="1" t="n">
        <v>45336</v>
      </c>
      <c r="C35" s="1" t="n">
        <v>45924</v>
      </c>
      <c r="D35" t="inlineStr">
        <is>
          <t>VÄSTRA GÖTALANDS LÄN</t>
        </is>
      </c>
      <c r="E35" t="inlineStr">
        <is>
          <t>MÖLNDAL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44926-2025</t>
        </is>
      </c>
      <c r="B36" s="1" t="n">
        <v>45918.55856481481</v>
      </c>
      <c r="C36" s="1" t="n">
        <v>45924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31321-2025</t>
        </is>
      </c>
      <c r="B37" s="1" t="n">
        <v>45833</v>
      </c>
      <c r="C37" s="1" t="n">
        <v>45924</v>
      </c>
      <c r="D37" t="inlineStr">
        <is>
          <t>VÄSTRA GÖTALANDS LÄN</t>
        </is>
      </c>
      <c r="E37" t="inlineStr">
        <is>
          <t>MÖLNDAL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37570-2025</t>
        </is>
      </c>
      <c r="B38" s="1" t="n">
        <v>45880.37358796296</v>
      </c>
      <c r="C38" s="1" t="n">
        <v>45924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11256-2024</t>
        </is>
      </c>
      <c r="B39" s="1" t="n">
        <v>45371.66233796296</v>
      </c>
      <c r="C39" s="1" t="n">
        <v>45924</v>
      </c>
      <c r="D39" t="inlineStr">
        <is>
          <t>VÄSTRA GÖTALANDS LÄN</t>
        </is>
      </c>
      <c r="E39" t="inlineStr">
        <is>
          <t>MÖLNDAL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45924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45084.64277777778</v>
      </c>
      <c r="C41" s="1" t="n">
        <v>45924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62804-2023</t>
        </is>
      </c>
      <c r="B42" s="1" t="n">
        <v>45271</v>
      </c>
      <c r="C42" s="1" t="n">
        <v>45924</v>
      </c>
      <c r="D42" t="inlineStr">
        <is>
          <t>VÄSTRA GÖTALANDS LÄN</t>
        </is>
      </c>
      <c r="E42" t="inlineStr">
        <is>
          <t>MÖLNDAL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45924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11261-2024</t>
        </is>
      </c>
      <c r="B44" s="1" t="n">
        <v>45371.67425925926</v>
      </c>
      <c r="C44" s="1" t="n">
        <v>45924</v>
      </c>
      <c r="D44" t="inlineStr">
        <is>
          <t>VÄSTRA GÖTALANDS LÄN</t>
        </is>
      </c>
      <c r="E44" t="inlineStr">
        <is>
          <t>MÖLNDAL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19295-2025</t>
        </is>
      </c>
      <c r="B45" s="1" t="n">
        <v>45769.56212962963</v>
      </c>
      <c r="C45" s="1" t="n">
        <v>45924</v>
      </c>
      <c r="D45" t="inlineStr">
        <is>
          <t>VÄSTRA GÖTALANDS LÄN</t>
        </is>
      </c>
      <c r="E45" t="inlineStr">
        <is>
          <t>MÖLNDAL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21477-2025</t>
        </is>
      </c>
      <c r="B46" s="1" t="n">
        <v>45782.59390046296</v>
      </c>
      <c r="C46" s="1" t="n">
        <v>45924</v>
      </c>
      <c r="D46" t="inlineStr">
        <is>
          <t>VÄSTRA GÖTALANDS LÄN</t>
        </is>
      </c>
      <c r="E46" t="inlineStr">
        <is>
          <t>MÖLNDAL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22033-2025</t>
        </is>
      </c>
      <c r="B47" s="1" t="n">
        <v>45785.29449074074</v>
      </c>
      <c r="C47" s="1" t="n">
        <v>45924</v>
      </c>
      <c r="D47" t="inlineStr">
        <is>
          <t>VÄSTRA GÖTALANDS LÄN</t>
        </is>
      </c>
      <c r="E47" t="inlineStr">
        <is>
          <t>MÖLNDAL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2025-09-24T10:14:03Z</dcterms:created>
  <dcterms:modified xmlns:dcterms="http://purl.org/dc/terms/" xmlns:xsi="http://www.w3.org/2001/XMLSchema-instance" xsi:type="dcterms:W3CDTF">2025-09-24T10:14:03Z</dcterms:modified>
</cp:coreProperties>
</file>