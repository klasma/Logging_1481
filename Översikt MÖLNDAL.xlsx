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46160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62768-2025</t>
        </is>
      </c>
      <c r="B3" s="1" t="n">
        <v>46008.59856481481</v>
      </c>
      <c r="C3" s="1" t="n">
        <v>46160</v>
      </c>
      <c r="D3" t="inlineStr">
        <is>
          <t>VÄSTRA GÖTALANDS LÄN</t>
        </is>
      </c>
      <c r="E3" t="inlineStr">
        <is>
          <t>MÖLNDAL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Tjäder</t>
        </is>
      </c>
      <c r="S3">
        <f>HYPERLINK("https://klasma.github.io/Logging_1481/artfynd/A 62768-2025 artfynd.xlsx", "A 62768-2025")</f>
        <v/>
      </c>
      <c r="T3">
        <f>HYPERLINK("https://klasma.github.io/Logging_1481/kartor/A 62768-2025 karta.png", "A 62768-2025")</f>
        <v/>
      </c>
      <c r="V3">
        <f>HYPERLINK("https://klasma.github.io/Logging_1481/klagomål/A 62768-2025 FSC-klagomål.docx", "A 62768-2025")</f>
        <v/>
      </c>
      <c r="W3">
        <f>HYPERLINK("https://klasma.github.io/Logging_1481/klagomålsmail/A 62768-2025 FSC-klagomål mail.docx", "A 62768-2025")</f>
        <v/>
      </c>
      <c r="X3">
        <f>HYPERLINK("https://klasma.github.io/Logging_1481/tillsyn/A 62768-2025 tillsynsbegäran.docx", "A 62768-2025")</f>
        <v/>
      </c>
      <c r="Y3">
        <f>HYPERLINK("https://klasma.github.io/Logging_1481/tillsynsmail/A 62768-2025 tillsynsbegäran mail.docx", "A 62768-2025")</f>
        <v/>
      </c>
      <c r="Z3">
        <f>HYPERLINK("https://klasma.github.io/Logging_1481/fåglar/A 62768-2025 prioriterade fågelarter.docx", "A 62768-2025")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46160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Rävticka
Trädporella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46160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46160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46160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46160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46160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46384-2025</t>
        </is>
      </c>
      <c r="B10" s="1" t="n">
        <v>45925</v>
      </c>
      <c r="C10" s="1" t="n">
        <v>46160</v>
      </c>
      <c r="D10" t="inlineStr">
        <is>
          <t>VÄSTRA GÖTALANDS LÄN</t>
        </is>
      </c>
      <c r="E10" t="inlineStr">
        <is>
          <t>MÖLNDAL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46384-2025 artfynd.xlsx", "A 46384-2025")</f>
        <v/>
      </c>
      <c r="T10">
        <f>HYPERLINK("https://klasma.github.io/Logging_1481/kartor/A 46384-2025 karta.png", "A 46384-2025")</f>
        <v/>
      </c>
      <c r="V10">
        <f>HYPERLINK("https://klasma.github.io/Logging_1481/klagomål/A 46384-2025 FSC-klagomål.docx", "A 46384-2025")</f>
        <v/>
      </c>
      <c r="W10">
        <f>HYPERLINK("https://klasma.github.io/Logging_1481/klagomålsmail/A 46384-2025 FSC-klagomål mail.docx", "A 46384-2025")</f>
        <v/>
      </c>
      <c r="X10">
        <f>HYPERLINK("https://klasma.github.io/Logging_1481/tillsyn/A 46384-2025 tillsynsbegäran.docx", "A 46384-2025")</f>
        <v/>
      </c>
      <c r="Y10">
        <f>HYPERLINK("https://klasma.github.io/Logging_1481/tillsynsmail/A 46384-2025 tillsynsbegäran mail.docx", "A 46384-2025")</f>
        <v/>
      </c>
      <c r="Z10">
        <f>HYPERLINK("https://klasma.github.io/Logging_1481/fåglar/A 46384-2025 prioriterade fågelarter.docx", "A 46384-2025")</f>
        <v/>
      </c>
    </row>
    <row r="11" ht="15" customHeight="1">
      <c r="A11" t="inlineStr">
        <is>
          <t>A 49789-2023</t>
        </is>
      </c>
      <c r="B11" s="1" t="n">
        <v>45212</v>
      </c>
      <c r="C11" s="1" t="n">
        <v>46160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Trubbfjädermossa</t>
        </is>
      </c>
      <c r="S11">
        <f>HYPERLINK("https://klasma.github.io/Logging_1481/artfynd/A 49789-2023 artfynd.xlsx", "A 49789-2023")</f>
        <v/>
      </c>
      <c r="T11">
        <f>HYPERLINK("https://klasma.github.io/Logging_1481/kartor/A 49789-2023 karta.png", "A 49789-2023")</f>
        <v/>
      </c>
      <c r="V11">
        <f>HYPERLINK("https://klasma.github.io/Logging_1481/klagomål/A 49789-2023 FSC-klagomål.docx", "A 49789-2023")</f>
        <v/>
      </c>
      <c r="W11">
        <f>HYPERLINK("https://klasma.github.io/Logging_1481/klagomålsmail/A 49789-2023 FSC-klagomål mail.docx", "A 49789-2023")</f>
        <v/>
      </c>
      <c r="X11">
        <f>HYPERLINK("https://klasma.github.io/Logging_1481/tillsyn/A 49789-2023 tillsynsbegäran.docx", "A 49789-2023")</f>
        <v/>
      </c>
      <c r="Y11">
        <f>HYPERLINK("https://klasma.github.io/Logging_1481/tillsynsmail/A 49789-2023 tillsynsbegäran mail.docx", "A 49789-2023")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46160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46160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46160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46160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46160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46160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46160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46160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46160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46160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61178-2024</t>
        </is>
      </c>
      <c r="B22" s="1" t="n">
        <v>45645</v>
      </c>
      <c r="C22" s="1" t="n">
        <v>46160</v>
      </c>
      <c r="D22" t="inlineStr">
        <is>
          <t>VÄSTRA GÖTALANDS LÄN</t>
        </is>
      </c>
      <c r="E22" t="inlineStr">
        <is>
          <t>MÖLNDAL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46160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46160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44977.95614583333</v>
      </c>
      <c r="C25" s="1" t="n">
        <v>46160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46160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46160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46160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46160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46160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10661-2026</t>
        </is>
      </c>
      <c r="B31" s="1" t="n">
        <v>46078.37611111111</v>
      </c>
      <c r="C31" s="1" t="n">
        <v>46160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10672-2026</t>
        </is>
      </c>
      <c r="B32" s="1" t="n">
        <v>46078.40140046296</v>
      </c>
      <c r="C32" s="1" t="n">
        <v>46160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10654-2026</t>
        </is>
      </c>
      <c r="B33" s="1" t="n">
        <v>46078.35840277778</v>
      </c>
      <c r="C33" s="1" t="n">
        <v>46160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48265-2025</t>
        </is>
      </c>
      <c r="B34" s="1" t="n">
        <v>45933</v>
      </c>
      <c r="C34" s="1" t="n">
        <v>46160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43067-2024</t>
        </is>
      </c>
      <c r="B35" s="1" t="n">
        <v>45567.47446759259</v>
      </c>
      <c r="C35" s="1" t="n">
        <v>46160</v>
      </c>
      <c r="D35" t="inlineStr">
        <is>
          <t>VÄSTRA GÖTALANDS LÄN</t>
        </is>
      </c>
      <c r="E35" t="inlineStr">
        <is>
          <t>MÖLNDAL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21536-2024</t>
        </is>
      </c>
      <c r="B36" s="1" t="n">
        <v>45441.59925925926</v>
      </c>
      <c r="C36" s="1" t="n">
        <v>46160</v>
      </c>
      <c r="D36" t="inlineStr">
        <is>
          <t>VÄSTRA GÖTALANDS LÄN</t>
        </is>
      </c>
      <c r="E36" t="inlineStr">
        <is>
          <t>MÖLNDAL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46160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46379-2025</t>
        </is>
      </c>
      <c r="B38" s="1" t="n">
        <v>45925</v>
      </c>
      <c r="C38" s="1" t="n">
        <v>46160</v>
      </c>
      <c r="D38" t="inlineStr">
        <is>
          <t>VÄSTRA GÖTALANDS LÄN</t>
        </is>
      </c>
      <c r="E38" t="inlineStr">
        <is>
          <t>MÖLNDAL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45769.56212962963</v>
      </c>
      <c r="C39" s="1" t="n">
        <v>46160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12273-2024</t>
        </is>
      </c>
      <c r="B40" s="1" t="n">
        <v>45378.47817129629</v>
      </c>
      <c r="C40" s="1" t="n">
        <v>46160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45321.673125</v>
      </c>
      <c r="C41" s="1" t="n">
        <v>46160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46160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46160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46160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46160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46160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46160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46160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2026-05-18T10:56:12Z</dcterms:created>
  <dcterms:modified xmlns:dcterms="http://purl.org/dc/terms/" xmlns:xsi="http://www.w3.org/2001/XMLSchema-instance" xsi:type="dcterms:W3CDTF">2026-05-18T10:56:12Z</dcterms:modified>
</cp:coreProperties>
</file>