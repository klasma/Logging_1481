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46319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46319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46319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46319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46319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46319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46319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46319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46379-2025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45925</v>
      </c>
      <c r="E10" s="1" t="n">
        <v>46319</v>
      </c>
      <c r="F10" t="inlineStr">
        <is>
          <t>VÄSTRA GÖTALANDS LÄN</t>
        </is>
      </c>
      <c r="G10" t="inlineStr">
        <is>
          <t>MÖLNDAL</t>
        </is>
      </c>
      <c r="I10" t="n">
        <v>4.8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4</v>
      </c>
      <c r="U10" t="n">
        <v>3</v>
      </c>
      <c r="V10" s="2" t="inlineStr">
        <is>
          <t>Spillkråka
Fiskgjuse</t>
        </is>
      </c>
      <c r="W10">
        <f>HYPERLINK("https://klasma.github.io/Logging_1481/artfynd/A 46379-2025 artfynd.xlsx", "A 46379-2025")</f>
        <v/>
      </c>
      <c r="X10">
        <f>HYPERLINK("https://klasma.github.io/Logging_1481/kartor/A 46379-2025 karta.png", "A 46379-2025")</f>
        <v/>
      </c>
      <c r="Y10">
        <f>HYPERLINK("https://klasma.github.io/Logging_1481/kartor_geotiff/A 46379-2025 georefererad karta.tif", "A 46379-2025")</f>
        <v/>
      </c>
      <c r="AA10">
        <f>HYPERLINK("https://klasma.github.io/Logging_1481/klagomål/A 46379-2025 FSC-klagomål.docx", "A 46379-2025")</f>
        <v/>
      </c>
      <c r="AB10">
        <f>HYPERLINK("https://klasma.github.io/Logging_1481/klagomålsmail/A 46379-2025 FSC-klagomål mail.docx", "A 46379-2025")</f>
        <v/>
      </c>
      <c r="AC10">
        <f>HYPERLINK("https://klasma.github.io/Logging_1481/tillsyn/A 46379-2025 tillsynsbegäran.docx", "A 46379-2025")</f>
        <v/>
      </c>
      <c r="AD10">
        <f>HYPERLINK("https://klasma.github.io/Logging_1481/tillsynsmail/A 46379-2025 tillsynsbegäran mail.docx", "A 46379-2025")</f>
        <v/>
      </c>
      <c r="AE10">
        <f>HYPERLINK("https://klasma.github.io/Logging_1481/fåglar/A 46379-2025 prioriterade fågelarter.docx", "A 46379-2025")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46319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46319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46319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46319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46319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46319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46319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46319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46319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46319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46319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46319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24771-2023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45084</v>
      </c>
      <c r="E23" s="1" t="n">
        <v>46319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46319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6258-2024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46319</v>
      </c>
      <c r="F25" t="inlineStr">
        <is>
          <t>VÄSTRA GÖTALANDS LÄN</t>
        </is>
      </c>
      <c r="G25" t="inlineStr">
        <is>
          <t>MÖLNDAL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21477-2025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45782</v>
      </c>
      <c r="E26" s="1" t="n">
        <v>46319</v>
      </c>
      <c r="F26" t="inlineStr">
        <is>
          <t>VÄSTRA GÖTALANDS LÄN</t>
        </is>
      </c>
      <c r="G26" t="inlineStr">
        <is>
          <t>MÖLNDAL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46319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46319</v>
      </c>
      <c r="F28" t="inlineStr">
        <is>
          <t>VÄSTRA GÖTALANDS LÄN</t>
        </is>
      </c>
      <c r="G28" t="inlineStr">
        <is>
          <t>MÖLNDAL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46319</v>
      </c>
      <c r="F29" t="inlineStr">
        <is>
          <t>VÄSTRA GÖTALANDS LÄN</t>
        </is>
      </c>
      <c r="G29" t="inlineStr">
        <is>
          <t>MÖLNDAL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28291-2026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46319</v>
      </c>
      <c r="F30" t="inlineStr">
        <is>
          <t>VÄSTRA GÖTALANDS LÄN</t>
        </is>
      </c>
      <c r="G30" t="inlineStr">
        <is>
          <t>MÖLNDAL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45072</v>
      </c>
      <c r="E31" s="1" t="n">
        <v>46319</v>
      </c>
      <c r="F31" t="inlineStr">
        <is>
          <t>VÄSTRA GÖTALANDS LÄN</t>
        </is>
      </c>
      <c r="G31" t="inlineStr">
        <is>
          <t>MÖLNDAL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31828-2026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46230</v>
      </c>
      <c r="E32" s="1" t="n">
        <v>46319</v>
      </c>
      <c r="F32" t="inlineStr">
        <is>
          <t>VÄSTRA GÖTALANDS LÄN</t>
        </is>
      </c>
      <c r="G32" t="inlineStr">
        <is>
          <t>MÖLNDAL</t>
        </is>
      </c>
      <c r="I32" t="n">
        <v>7.6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61178-2024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45645</v>
      </c>
      <c r="E33" s="1" t="n">
        <v>46319</v>
      </c>
      <c r="F33" t="inlineStr">
        <is>
          <t>VÄSTRA GÖTALANDS LÄN</t>
        </is>
      </c>
      <c r="G33" t="inlineStr">
        <is>
          <t>MÖLNDAL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38274-2026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46281</v>
      </c>
      <c r="E34" s="1" t="n">
        <v>46319</v>
      </c>
      <c r="F34" t="inlineStr">
        <is>
          <t>VÄSTRA GÖTALANDS LÄN</t>
        </is>
      </c>
      <c r="G34" t="inlineStr">
        <is>
          <t>MÖLNDAL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32581-2026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46239</v>
      </c>
      <c r="E35" s="1" t="n">
        <v>46319</v>
      </c>
      <c r="F35" t="inlineStr">
        <is>
          <t>VÄSTRA GÖTALANDS LÄN</t>
        </is>
      </c>
      <c r="G35" t="inlineStr">
        <is>
          <t>MÖLNDAL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32941-2026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46319</v>
      </c>
      <c r="F36" t="inlineStr">
        <is>
          <t>VÄSTRA GÖTALANDS LÄN</t>
        </is>
      </c>
      <c r="G36" t="inlineStr">
        <is>
          <t>MÖLNDAL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46319</v>
      </c>
      <c r="F37" t="inlineStr">
        <is>
          <t>VÄSTRA GÖTALANDS LÄN</t>
        </is>
      </c>
      <c r="G37" t="inlineStr">
        <is>
          <t>MÖLNDAL</t>
        </is>
      </c>
      <c r="H37" t="inlineStr">
        <is>
          <t>Kommuner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46078</v>
      </c>
      <c r="E38" s="1" t="n">
        <v>46319</v>
      </c>
      <c r="F38" t="inlineStr">
        <is>
          <t>VÄSTRA GÖTALANDS LÄN</t>
        </is>
      </c>
      <c r="G38" t="inlineStr">
        <is>
          <t>MÖLNDAL</t>
        </is>
      </c>
      <c r="H38" t="inlineStr">
        <is>
          <t>Kommuner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10654-2026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46078</v>
      </c>
      <c r="E39" s="1" t="n">
        <v>46319</v>
      </c>
      <c r="F39" t="inlineStr">
        <is>
          <t>VÄSTRA GÖTALANDS LÄN</t>
        </is>
      </c>
      <c r="G39" t="inlineStr">
        <is>
          <t>MÖLNDAL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41561-2026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46301</v>
      </c>
      <c r="E40" s="1" t="n">
        <v>46319</v>
      </c>
      <c r="F40" t="inlineStr">
        <is>
          <t>VÄSTRA GÖTALANDS LÄN</t>
        </is>
      </c>
      <c r="G40" t="inlineStr">
        <is>
          <t>MÖLNDAL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35293-2026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46261</v>
      </c>
      <c r="E41" s="1" t="n">
        <v>46319</v>
      </c>
      <c r="F41" t="inlineStr">
        <is>
          <t>VÄSTRA GÖTALANDS LÄN</t>
        </is>
      </c>
      <c r="G41" t="inlineStr">
        <is>
          <t>MÖLNDAL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45127</v>
      </c>
      <c r="E42" s="1" t="n">
        <v>46319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37570-2025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45880</v>
      </c>
      <c r="E43" s="1" t="n">
        <v>46319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46316</v>
      </c>
      <c r="E44" s="1" t="n">
        <v>46319</v>
      </c>
      <c r="F44" t="inlineStr">
        <is>
          <t>VÄSTRA GÖTALANDS LÄN</t>
        </is>
      </c>
      <c r="G44" t="inlineStr">
        <is>
          <t>MÖLNDAL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46319</v>
      </c>
      <c r="F45" t="inlineStr">
        <is>
          <t>VÄSTRA GÖTALANDS LÄN</t>
        </is>
      </c>
      <c r="G45" t="inlineStr">
        <is>
          <t>MÖLNDAL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60809-2024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46319</v>
      </c>
      <c r="F46" t="inlineStr">
        <is>
          <t>VÄSTRA GÖTALANDS LÄN</t>
        </is>
      </c>
      <c r="G46" t="inlineStr">
        <is>
          <t>MÖLNDAL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45659</v>
      </c>
      <c r="E47" s="1" t="n">
        <v>46319</v>
      </c>
      <c r="F47" t="inlineStr">
        <is>
          <t>VÄSTRA GÖTALANDS LÄN</t>
        </is>
      </c>
      <c r="G47" t="inlineStr">
        <is>
          <t>MÖLNDAL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45567</v>
      </c>
      <c r="E48" s="1" t="n">
        <v>46319</v>
      </c>
      <c r="F48" t="inlineStr">
        <is>
          <t>VÄSTRA GÖTALANDS LÄN</t>
        </is>
      </c>
      <c r="G48" t="inlineStr">
        <is>
          <t>MÖLNDAL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21536-2024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45441</v>
      </c>
      <c r="E49" s="1" t="n">
        <v>46319</v>
      </c>
      <c r="F49" t="inlineStr">
        <is>
          <t>VÄSTRA GÖTALANDS LÄN</t>
        </is>
      </c>
      <c r="G49" t="inlineStr">
        <is>
          <t>MÖLNDAL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56133-2023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45240</v>
      </c>
      <c r="E50" s="1" t="n">
        <v>46319</v>
      </c>
      <c r="F50" t="inlineStr">
        <is>
          <t>VÄSTRA GÖTALANDS LÄN</t>
        </is>
      </c>
      <c r="G50" t="inlineStr">
        <is>
          <t>MÖLNDAL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46319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46319</v>
      </c>
      <c r="F52" t="inlineStr">
        <is>
          <t>VÄSTRA GÖTALANDS LÄN</t>
        </is>
      </c>
      <c r="G52" t="inlineStr">
        <is>
          <t>MÖLNDAL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46319</v>
      </c>
      <c r="F53" t="inlineStr">
        <is>
          <t>VÄSTRA GÖTALANDS LÄN</t>
        </is>
      </c>
      <c r="G53" t="inlineStr">
        <is>
          <t>MÖLNDAL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45371</v>
      </c>
      <c r="E54" s="1" t="n">
        <v>46319</v>
      </c>
      <c r="F54" t="inlineStr">
        <is>
          <t>VÄSTRA GÖTALANDS LÄN</t>
        </is>
      </c>
      <c r="G54" t="inlineStr">
        <is>
          <t>MÖLNDAL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46319</v>
      </c>
      <c r="F55" t="inlineStr">
        <is>
          <t>VÄSTRA GÖTALANDS LÄN</t>
        </is>
      </c>
      <c r="G55" t="inlineStr">
        <is>
          <t>MÖLNDAL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921-2025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45737</v>
      </c>
      <c r="E56" s="1" t="n">
        <v>46319</v>
      </c>
      <c r="F56" t="inlineStr">
        <is>
          <t>VÄSTRA GÖTALANDS LÄN</t>
        </is>
      </c>
      <c r="G56" t="inlineStr">
        <is>
          <t>MÖLNDAL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S 14-2026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46028</v>
      </c>
      <c r="E57" s="1" t="n">
        <v>46319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>
      <c r="A58" t="inlineStr">
        <is>
          <t>S 2660-2026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46308</v>
      </c>
      <c r="E58" s="1" t="n">
        <v>46319</v>
      </c>
      <c r="F58" t="inlineStr">
        <is>
          <t>VÄSTRA GÖTALANDS LÄN</t>
        </is>
      </c>
      <c r="G58" t="inlineStr">
        <is>
          <t>MÖLNDAL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2026-10-24T02:03:09Z</dcterms:created>
  <dcterms:modified xmlns:dcterms="http://purl.org/dc/terms/" xmlns:xsi="http://www.w3.org/2001/XMLSchema-instance" xsi:type="dcterms:W3CDTF">2026-10-24T02:03:10Z</dcterms:modified>
</cp:coreProperties>
</file>