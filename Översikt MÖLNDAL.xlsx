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46290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46290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4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13</v>
      </c>
      <c r="U3" t="n">
        <v>13</v>
      </c>
      <c r="V3" s="2" t="inlineStr">
        <is>
          <t>Gräddporing
Motaggsvamp
Vedskivlav
Rävticka
Trädporella
Järpe
Spillkråka
Revlummer
Äkta lopplummer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46290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46290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46290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46290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46290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46290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46290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46290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6042-2024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45336</v>
      </c>
      <c r="E12" s="1" t="n">
        <v>46290</v>
      </c>
      <c r="F12" t="inlineStr">
        <is>
          <t>VÄSTRA GÖTALANDS LÄN</t>
        </is>
      </c>
      <c r="G12" t="inlineStr">
        <is>
          <t>MÖLNDAL</t>
        </is>
      </c>
      <c r="I12" t="n">
        <v>1.7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Guldlockmossa</t>
        </is>
      </c>
      <c r="W12">
        <f>HYPERLINK("https://klasma.github.io/Logging_1481/artfynd/A 6042-2024 artfynd.xlsx", "A 6042-2024")</f>
        <v/>
      </c>
      <c r="X12">
        <f>HYPERLINK("https://klasma.github.io/Logging_1481/kartor/A 6042-2024 karta.png", "A 6042-2024")</f>
        <v/>
      </c>
      <c r="Y12">
        <f>HYPERLINK("https://klasma.github.io/Logging_1481/kartor_geotiff/A 6042-2024 georefererad karta.tif", "A 6042-2024")</f>
        <v/>
      </c>
      <c r="AA12">
        <f>HYPERLINK("https://klasma.github.io/Logging_1481/klagomål/A 6042-2024 FSC-klagomål.docx", "A 6042-2024")</f>
        <v/>
      </c>
      <c r="AB12">
        <f>HYPERLINK("https://klasma.github.io/Logging_1481/klagomålsmail/A 6042-2024 FSC-klagomål mail.docx", "A 6042-2024")</f>
        <v/>
      </c>
      <c r="AC12">
        <f>HYPERLINK("https://klasma.github.io/Logging_1481/tillsyn/A 6042-2024 tillsynsbegäran.docx", "A 6042-2024")</f>
        <v/>
      </c>
      <c r="AD12">
        <f>HYPERLINK("https://klasma.github.io/Logging_1481/tillsynsmail/A 6042-2024 tillsynsbegäran mail.docx", "A 6042-2024")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46290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46290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46290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2842-2025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46290</v>
      </c>
      <c r="F16" t="inlineStr">
        <is>
          <t>VÄSTRA GÖTALANDS LÄN</t>
        </is>
      </c>
      <c r="G16" t="inlineStr">
        <is>
          <t>MÖLNDAL</t>
        </is>
      </c>
      <c r="I16" t="n">
        <v>2.7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2842-2025 artfynd.xlsx", "A 2842-2025")</f>
        <v/>
      </c>
      <c r="X16">
        <f>HYPERLINK("https://klasma.github.io/Logging_1481/kartor/A 2842-2025 karta.png", "A 2842-2025")</f>
        <v/>
      </c>
      <c r="Y16">
        <f>HYPERLINK("https://klasma.github.io/Logging_1481/kartor_geotiff/A 2842-2025 georefererad karta.tif", "A 2842-2025")</f>
        <v/>
      </c>
      <c r="AA16">
        <f>HYPERLINK("https://klasma.github.io/Logging_1481/klagomål/A 2842-2025 FSC-klagomål.docx", "A 2842-2025")</f>
        <v/>
      </c>
      <c r="AB16">
        <f>HYPERLINK("https://klasma.github.io/Logging_1481/klagomålsmail/A 2842-2025 FSC-klagomål mail.docx", "A 2842-2025")</f>
        <v/>
      </c>
      <c r="AC16">
        <f>HYPERLINK("https://klasma.github.io/Logging_1481/tillsyn/A 2842-2025 tillsynsbegäran.docx", "A 2842-2025")</f>
        <v/>
      </c>
      <c r="AD16">
        <f>HYPERLINK("https://klasma.github.io/Logging_1481/tillsynsmail/A 2842-2025 tillsynsbegäran mail.docx", "A 2842-2025")</f>
        <v/>
      </c>
      <c r="AE16">
        <f>HYPERLINK("https://klasma.github.io/Logging_1481/fåglar/A 2842-2025 prioriterade fågelarter.docx", "A 2842-2025")</f>
        <v/>
      </c>
    </row>
    <row r="17" ht="15" customHeight="1">
      <c r="A17" t="inlineStr">
        <is>
          <t>A 34574-2025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46290</v>
      </c>
      <c r="F17" t="inlineStr">
        <is>
          <t>VÄSTRA GÖTALANDS LÄN</t>
        </is>
      </c>
      <c r="G17" t="inlineStr">
        <is>
          <t>MÖLNDAL</t>
        </is>
      </c>
      <c r="I17" t="n">
        <v>7.4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Mattlummer</t>
        </is>
      </c>
      <c r="W17">
        <f>HYPERLINK("https://klasma.github.io/Logging_1481/artfynd/A 34574-2025 artfynd.xlsx", "A 34574-2025")</f>
        <v/>
      </c>
      <c r="X17">
        <f>HYPERLINK("https://klasma.github.io/Logging_1481/kartor/A 34574-2025 karta.png", "A 34574-2025")</f>
        <v/>
      </c>
      <c r="Y17">
        <f>HYPERLINK("https://klasma.github.io/Logging_1481/kartor_geotiff/A 34574-2025 georefererad karta.tif", "A 34574-2025")</f>
        <v/>
      </c>
      <c r="AA17">
        <f>HYPERLINK("https://klasma.github.io/Logging_1481/klagomål/A 34574-2025 FSC-klagomål.docx", "A 34574-2025")</f>
        <v/>
      </c>
      <c r="AB17">
        <f>HYPERLINK("https://klasma.github.io/Logging_1481/klagomålsmail/A 34574-2025 FSC-klagomål mail.docx", "A 34574-2025")</f>
        <v/>
      </c>
      <c r="AC17">
        <f>HYPERLINK("https://klasma.github.io/Logging_1481/tillsyn/A 34574-2025 tillsynsbegäran.docx", "A 34574-2025")</f>
        <v/>
      </c>
      <c r="AD17">
        <f>HYPERLINK("https://klasma.github.io/Logging_1481/tillsynsmail/A 34574-2025 tillsynsbegäran mail.docx", "A 34574-2025")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46290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46290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46290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46290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46290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46290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46290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43067-2024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46290</v>
      </c>
      <c r="F25" t="inlineStr">
        <is>
          <t>VÄSTRA GÖTALANDS LÄN</t>
        </is>
      </c>
      <c r="G25" t="inlineStr">
        <is>
          <t>MÖLNDAL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45378</v>
      </c>
      <c r="E26" s="1" t="n">
        <v>46290</v>
      </c>
      <c r="F26" t="inlineStr">
        <is>
          <t>VÄSTRA GÖTALANDS LÄN</t>
        </is>
      </c>
      <c r="G26" t="inlineStr">
        <is>
          <t>MÖLNDAL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46290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46290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46290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45072</v>
      </c>
      <c r="E30" s="1" t="n">
        <v>46290</v>
      </c>
      <c r="F30" t="inlineStr">
        <is>
          <t>VÄSTRA GÖTALANDS LÄN</t>
        </is>
      </c>
      <c r="G30" t="inlineStr">
        <is>
          <t>MÖLNDAL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62804-2023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45271</v>
      </c>
      <c r="E31" s="1" t="n">
        <v>46290</v>
      </c>
      <c r="F31" t="inlineStr">
        <is>
          <t>VÄSTRA GÖTALANDS LÄN</t>
        </is>
      </c>
      <c r="G31" t="inlineStr">
        <is>
          <t>MÖLNDAL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45321</v>
      </c>
      <c r="E32" s="1" t="n">
        <v>46290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46290</v>
      </c>
      <c r="F33" t="inlineStr">
        <is>
          <t>VÄSTRA GÖTALANDS LÄN</t>
        </is>
      </c>
      <c r="G33" t="inlineStr">
        <is>
          <t>MÖLNDAL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45337</v>
      </c>
      <c r="E34" s="1" t="n">
        <v>46290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46290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45659</v>
      </c>
      <c r="E36" s="1" t="n">
        <v>46290</v>
      </c>
      <c r="F36" t="inlineStr">
        <is>
          <t>VÄSTRA GÖTALANDS LÄN</t>
        </is>
      </c>
      <c r="G36" t="inlineStr">
        <is>
          <t>MÖLNDAL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46290</v>
      </c>
      <c r="F37" t="inlineStr">
        <is>
          <t>VÄSTRA GÖTALANDS LÄN</t>
        </is>
      </c>
      <c r="G37" t="inlineStr">
        <is>
          <t>MÖLNDAL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46290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46290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46290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46290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46290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46290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46290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46290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46290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45240</v>
      </c>
      <c r="E47" s="1" t="n">
        <v>46290</v>
      </c>
      <c r="F47" t="inlineStr">
        <is>
          <t>VÄSTRA GÖTALANDS LÄN</t>
        </is>
      </c>
      <c r="G47" t="inlineStr">
        <is>
          <t>MÖLNDAL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46230</v>
      </c>
      <c r="E48" s="1" t="n">
        <v>46290</v>
      </c>
      <c r="F48" t="inlineStr">
        <is>
          <t>VÄSTRA GÖTALANDS LÄN</t>
        </is>
      </c>
      <c r="G48" t="inlineStr">
        <is>
          <t>MÖLNDAL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46290</v>
      </c>
      <c r="F49" t="inlineStr">
        <is>
          <t>VÄSTRA GÖTALANDS LÄN</t>
        </is>
      </c>
      <c r="G49" t="inlineStr">
        <is>
          <t>MÖLNDAL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46290</v>
      </c>
      <c r="F50" t="inlineStr">
        <is>
          <t>VÄSTRA GÖTALANDS LÄN</t>
        </is>
      </c>
      <c r="G50" t="inlineStr">
        <is>
          <t>MÖLNDAL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46281</v>
      </c>
      <c r="E51" s="1" t="n">
        <v>46290</v>
      </c>
      <c r="F51" t="inlineStr">
        <is>
          <t>VÄSTRA GÖTALANDS LÄN</t>
        </is>
      </c>
      <c r="G51" t="inlineStr">
        <is>
          <t>MÖLNDAL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46290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46290</v>
      </c>
      <c r="F53" t="inlineStr">
        <is>
          <t>VÄSTRA GÖTALANDS LÄN</t>
        </is>
      </c>
      <c r="G53" t="inlineStr">
        <is>
          <t>MÖLNDAL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46290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46290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2026-09-25T02:03:05Z</dcterms:created>
  <dcterms:modified xmlns:dcterms="http://purl.org/dc/terms/" xmlns:xsi="http://www.w3.org/2001/XMLSchema-instance" xsi:type="dcterms:W3CDTF">2026-09-25T02:03:05Z</dcterms:modified>
</cp:coreProperties>
</file>