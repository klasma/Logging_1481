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46324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46324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46324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46324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46324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46324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46324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46324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46324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46379-2025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45925</v>
      </c>
      <c r="E11" s="1" t="n">
        <v>46324</v>
      </c>
      <c r="F11" t="inlineStr">
        <is>
          <t>VÄSTRA GÖTALANDS LÄN</t>
        </is>
      </c>
      <c r="G11" t="inlineStr">
        <is>
          <t>MÖLNDAL</t>
        </is>
      </c>
      <c r="I11" t="n">
        <v>4.8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t="n">
        <v>3</v>
      </c>
      <c r="V11" s="2" t="inlineStr">
        <is>
          <t>Spillkråka
Fiskgjuse</t>
        </is>
      </c>
      <c r="W11">
        <f>HYPERLINK("https://klasma.github.io/Logging_1481/artfynd/A 46379-2025 artfynd.xlsx", "A 46379-2025")</f>
        <v/>
      </c>
      <c r="X11">
        <f>HYPERLINK("https://klasma.github.io/Logging_1481/kartor/A 46379-2025 karta.png", "A 46379-2025")</f>
        <v/>
      </c>
      <c r="Y11">
        <f>HYPERLINK("https://klasma.github.io/Logging_1481/kartor_geotiff/A 46379-2025 georefererad karta.tif", "A 46379-2025")</f>
        <v/>
      </c>
      <c r="AA11">
        <f>HYPERLINK("https://klasma.github.io/Logging_1481/klagomål/A 46379-2025 FSC-klagomål.docx", "A 46379-2025")</f>
        <v/>
      </c>
      <c r="AB11">
        <f>HYPERLINK("https://klasma.github.io/Logging_1481/klagomålsmail/A 46379-2025 FSC-klagomål mail.docx", "A 46379-2025")</f>
        <v/>
      </c>
      <c r="AC11">
        <f>HYPERLINK("https://klasma.github.io/Logging_1481/tillsyn/A 46379-2025 tillsynsbegäran.docx", "A 46379-2025")</f>
        <v/>
      </c>
      <c r="AD11">
        <f>HYPERLINK("https://klasma.github.io/Logging_1481/tillsynsmail/A 46379-2025 tillsynsbegäran mail.docx", "A 46379-2025")</f>
        <v/>
      </c>
      <c r="AE11">
        <f>HYPERLINK("https://klasma.github.io/Logging_1481/fåglar/A 46379-2025 prioriterade fågelarter.docx", "A 46379-2025")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46324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46324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46324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46324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46324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46324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46324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46324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46324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46324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45321</v>
      </c>
      <c r="E22" s="1" t="n">
        <v>46324</v>
      </c>
      <c r="F22" t="inlineStr">
        <is>
          <t>VÄSTRA GÖTALANDS LÄN</t>
        </is>
      </c>
      <c r="G22" t="inlineStr">
        <is>
          <t>MÖLNDAL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46324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46324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26650-2022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44739</v>
      </c>
      <c r="E25" s="1" t="n">
        <v>46324</v>
      </c>
      <c r="F25" t="inlineStr">
        <is>
          <t>VÄSTRA GÖTALANDS LÄN</t>
        </is>
      </c>
      <c r="G25" t="inlineStr">
        <is>
          <t>MÖLNDAL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46324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45659</v>
      </c>
      <c r="E27" s="1" t="n">
        <v>46324</v>
      </c>
      <c r="F27" t="inlineStr">
        <is>
          <t>VÄSTRA GÖTALANDS LÄN</t>
        </is>
      </c>
      <c r="G27" t="inlineStr">
        <is>
          <t>MÖLNDAL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46324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46324</v>
      </c>
      <c r="F29" t="inlineStr">
        <is>
          <t>VÄSTRA GÖTALANDS LÄN</t>
        </is>
      </c>
      <c r="G29" t="inlineStr">
        <is>
          <t>MÖLNDAL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45127</v>
      </c>
      <c r="E30" s="1" t="n">
        <v>46324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46324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45880</v>
      </c>
      <c r="E32" s="1" t="n">
        <v>46324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45371</v>
      </c>
      <c r="E33" s="1" t="n">
        <v>46324</v>
      </c>
      <c r="F33" t="inlineStr">
        <is>
          <t>VÄSTRA GÖTALANDS LÄN</t>
        </is>
      </c>
      <c r="G33" t="inlineStr">
        <is>
          <t>MÖLNDAL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46324</v>
      </c>
      <c r="F34" t="inlineStr">
        <is>
          <t>VÄSTRA GÖTALANDS LÄN</t>
        </is>
      </c>
      <c r="G34" t="inlineStr">
        <is>
          <t>MÖLNDAL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46324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45084</v>
      </c>
      <c r="E36" s="1" t="n">
        <v>46324</v>
      </c>
      <c r="F36" t="inlineStr">
        <is>
          <t>VÄSTRA GÖTALANDS LÄN</t>
        </is>
      </c>
      <c r="G36" t="inlineStr">
        <is>
          <t>MÖLNDAL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45240</v>
      </c>
      <c r="E37" s="1" t="n">
        <v>46324</v>
      </c>
      <c r="F37" t="inlineStr">
        <is>
          <t>VÄSTRA GÖTALANDS LÄN</t>
        </is>
      </c>
      <c r="G37" t="inlineStr">
        <is>
          <t>MÖLNDAL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46196</v>
      </c>
      <c r="E38" s="1" t="n">
        <v>46324</v>
      </c>
      <c r="F38" t="inlineStr">
        <is>
          <t>VÄSTRA GÖTALANDS LÄN</t>
        </is>
      </c>
      <c r="G38" t="inlineStr">
        <is>
          <t>MÖLNDAL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46324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46324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46324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46324</v>
      </c>
      <c r="F42" t="inlineStr">
        <is>
          <t>VÄSTRA GÖTALANDS LÄN</t>
        </is>
      </c>
      <c r="G42" t="inlineStr">
        <is>
          <t>MÖLNDAL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46324</v>
      </c>
      <c r="F43" t="inlineStr">
        <is>
          <t>VÄSTRA GÖTALANDS LÄN</t>
        </is>
      </c>
      <c r="G43" t="inlineStr">
        <is>
          <t>MÖLNDAL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45441</v>
      </c>
      <c r="E44" s="1" t="n">
        <v>46324</v>
      </c>
      <c r="F44" t="inlineStr">
        <is>
          <t>VÄSTRA GÖTALANDS LÄN</t>
        </is>
      </c>
      <c r="G44" t="inlineStr">
        <is>
          <t>MÖLNDAL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46324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32581-2026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46239</v>
      </c>
      <c r="E46" s="1" t="n">
        <v>46324</v>
      </c>
      <c r="F46" t="inlineStr">
        <is>
          <t>VÄSTRA GÖTALANDS LÄN</t>
        </is>
      </c>
      <c r="G46" t="inlineStr">
        <is>
          <t>MÖLNDAL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43067-2024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45567</v>
      </c>
      <c r="E47" s="1" t="n">
        <v>46324</v>
      </c>
      <c r="F47" t="inlineStr">
        <is>
          <t>VÄSTRA GÖTALANDS LÄN</t>
        </is>
      </c>
      <c r="G47" t="inlineStr">
        <is>
          <t>MÖLNDAL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45378</v>
      </c>
      <c r="E48" s="1" t="n">
        <v>46324</v>
      </c>
      <c r="F48" t="inlineStr">
        <is>
          <t>VÄSTRA GÖTALANDS LÄN</t>
        </is>
      </c>
      <c r="G48" t="inlineStr">
        <is>
          <t>MÖLNDAL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46324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46301</v>
      </c>
      <c r="E50" s="1" t="n">
        <v>46324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46324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46316</v>
      </c>
      <c r="E52" s="1" t="n">
        <v>46324</v>
      </c>
      <c r="F52" t="inlineStr">
        <is>
          <t>VÄSTRA GÖTALANDS LÄN</t>
        </is>
      </c>
      <c r="G52" t="inlineStr">
        <is>
          <t>MÖLNDAL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46324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45271</v>
      </c>
      <c r="E54" s="1" t="n">
        <v>46324</v>
      </c>
      <c r="F54" t="inlineStr">
        <is>
          <t>VÄSTRA GÖTALANDS LÄN</t>
        </is>
      </c>
      <c r="G54" t="inlineStr">
        <is>
          <t>MÖLNDAL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46281</v>
      </c>
      <c r="E55" s="1" t="n">
        <v>46324</v>
      </c>
      <c r="F55" t="inlineStr">
        <is>
          <t>VÄSTRA GÖTALANDS LÄN</t>
        </is>
      </c>
      <c r="G55" t="inlineStr">
        <is>
          <t>MÖLNDAL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46324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46324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46324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2026-10-29T03:13:21Z</dcterms:created>
  <dcterms:modified xmlns:dcterms="http://purl.org/dc/terms/" xmlns:xsi="http://www.w3.org/2001/XMLSchema-instance" xsi:type="dcterms:W3CDTF">2026-10-29T03:13:21Z</dcterms:modified>
</cp:coreProperties>
</file>