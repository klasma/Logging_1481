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45852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45852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45852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45852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45852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45852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34574-2025</t>
        </is>
      </c>
      <c r="B8" s="1" t="n">
        <v>45847</v>
      </c>
      <c r="C8" s="1" t="n">
        <v>45852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HYPERLINK("https://klasma.github.io/Logging_141481/artfynd/A 34574-2025 artfynd.xlsx", "A 34574-2025")</f>
        <v/>
      </c>
      <c r="T8">
        <f>HYPERLINK("https://klasma.github.io/Logging_141481/kartor/A 34574-2025 karta.png", "A 34574-2025")</f>
        <v/>
      </c>
      <c r="V8">
        <f>HYPERLINK("https://klasma.github.io/Logging_141481/klagomål/A 34574-2025 FSC-klagomål.docx", "A 34574-2025")</f>
        <v/>
      </c>
      <c r="W8">
        <f>HYPERLINK("https://klasma.github.io/Logging_141481/klagomålsmail/A 34574-2025 FSC-klagomål mail.docx", "A 34574-2025")</f>
        <v/>
      </c>
      <c r="X8">
        <f>HYPERLINK("https://klasma.github.io/Logging_141481/tillsyn/A 34574-2025 tillsynsbegäran.docx", "A 34574-2025")</f>
        <v/>
      </c>
      <c r="Y8">
        <f>HYPERLINK("https://klasma.github.io/Logging_141481/tillsynsmail/A 34574-2025 tillsynsbegäran mail.docx", "A 34574-2025")</f>
        <v/>
      </c>
    </row>
    <row r="9" ht="15" customHeight="1">
      <c r="A9" t="inlineStr">
        <is>
          <t>A 28183-2019</t>
        </is>
      </c>
      <c r="B9" s="1" t="n">
        <v>43621</v>
      </c>
      <c r="C9" s="1" t="n">
        <v>45852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45852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45852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45852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45852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45852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45852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45852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45852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45852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45852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45852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45852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45852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45852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45852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45852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45852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45852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</v>
      </c>
      <c r="C28" s="1" t="n">
        <v>45852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3673-2022</t>
        </is>
      </c>
      <c r="B29" s="1" t="n">
        <v>44586</v>
      </c>
      <c r="C29" s="1" t="n">
        <v>45852</v>
      </c>
      <c r="D29" t="inlineStr">
        <is>
          <t>VÄSTRA GÖTALANDS LÄN</t>
        </is>
      </c>
      <c r="E29" t="inlineStr">
        <is>
          <t>MÖLNDAL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45852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3678-2022</t>
        </is>
      </c>
      <c r="B31" s="1" t="n">
        <v>44586</v>
      </c>
      <c r="C31" s="1" t="n">
        <v>45852</v>
      </c>
      <c r="D31" t="inlineStr">
        <is>
          <t>VÄSTRA GÖTALANDS LÄN</t>
        </is>
      </c>
      <c r="E31" t="inlineStr">
        <is>
          <t>MÖLNDAL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23877-2022</t>
        </is>
      </c>
      <c r="B32" s="1" t="n">
        <v>44722</v>
      </c>
      <c r="C32" s="1" t="n">
        <v>45852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26650-2022</t>
        </is>
      </c>
      <c r="B33" s="1" t="n">
        <v>44739</v>
      </c>
      <c r="C33" s="1" t="n">
        <v>45852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42380-2022</t>
        </is>
      </c>
      <c r="B34" s="1" t="n">
        <v>44831</v>
      </c>
      <c r="C34" s="1" t="n">
        <v>45852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42368-2022</t>
        </is>
      </c>
      <c r="B35" s="1" t="n">
        <v>44831</v>
      </c>
      <c r="C35" s="1" t="n">
        <v>45852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42386-2022</t>
        </is>
      </c>
      <c r="B36" s="1" t="n">
        <v>44831</v>
      </c>
      <c r="C36" s="1" t="n">
        <v>45852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42415-2022</t>
        </is>
      </c>
      <c r="B37" s="1" t="n">
        <v>44831</v>
      </c>
      <c r="C37" s="1" t="n">
        <v>45852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</v>
      </c>
      <c r="C38" s="1" t="n">
        <v>45852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16447-2023</t>
        </is>
      </c>
      <c r="B39" s="1" t="n">
        <v>45029</v>
      </c>
      <c r="C39" s="1" t="n">
        <v>45852</v>
      </c>
      <c r="D39" t="inlineStr">
        <is>
          <t>VÄSTRA GÖTALANDS LÄN</t>
        </is>
      </c>
      <c r="E39" t="inlineStr">
        <is>
          <t>MÖLNDAL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22562-2023</t>
        </is>
      </c>
      <c r="B40" s="1" t="n">
        <v>45071</v>
      </c>
      <c r="C40" s="1" t="n">
        <v>45852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45852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</v>
      </c>
      <c r="C42" s="1" t="n">
        <v>45852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</v>
      </c>
      <c r="C43" s="1" t="n">
        <v>45852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45852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45852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3811-2024</t>
        </is>
      </c>
      <c r="B46" s="1" t="n">
        <v>45321</v>
      </c>
      <c r="C46" s="1" t="n">
        <v>45852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45852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6258-2024</t>
        </is>
      </c>
      <c r="B48" s="1" t="n">
        <v>45337</v>
      </c>
      <c r="C48" s="1" t="n">
        <v>45852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11261-2024</t>
        </is>
      </c>
      <c r="B49" s="1" t="n">
        <v>45371</v>
      </c>
      <c r="C49" s="1" t="n">
        <v>45852</v>
      </c>
      <c r="D49" t="inlineStr">
        <is>
          <t>VÄSTRA GÖTALANDS LÄN</t>
        </is>
      </c>
      <c r="E49" t="inlineStr">
        <is>
          <t>MÖLNDAL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11256-2024</t>
        </is>
      </c>
      <c r="B50" s="1" t="n">
        <v>45371</v>
      </c>
      <c r="C50" s="1" t="n">
        <v>45852</v>
      </c>
      <c r="D50" t="inlineStr">
        <is>
          <t>VÄSTRA GÖTALANDS LÄN</t>
        </is>
      </c>
      <c r="E50" t="inlineStr">
        <is>
          <t>MÖLNDAL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12273-2024</t>
        </is>
      </c>
      <c r="B51" s="1" t="n">
        <v>45378</v>
      </c>
      <c r="C51" s="1" t="n">
        <v>45852</v>
      </c>
      <c r="D51" t="inlineStr">
        <is>
          <t>VÄSTRA GÖTALANDS LÄN</t>
        </is>
      </c>
      <c r="E51" t="inlineStr">
        <is>
          <t>MÖLNDAL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12899-2024</t>
        </is>
      </c>
      <c r="B52" s="1" t="n">
        <v>45385</v>
      </c>
      <c r="C52" s="1" t="n">
        <v>45852</v>
      </c>
      <c r="D52" t="inlineStr">
        <is>
          <t>VÄSTRA GÖTALANDS LÄN</t>
        </is>
      </c>
      <c r="E52" t="inlineStr">
        <is>
          <t>MÖLNDAL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17567-2024</t>
        </is>
      </c>
      <c r="B53" s="1" t="n">
        <v>45415</v>
      </c>
      <c r="C53" s="1" t="n">
        <v>45852</v>
      </c>
      <c r="D53" t="inlineStr">
        <is>
          <t>VÄSTRA GÖTALANDS LÄN</t>
        </is>
      </c>
      <c r="E53" t="inlineStr">
        <is>
          <t>MÖLNDAL</t>
        </is>
      </c>
      <c r="F53" t="inlineStr">
        <is>
          <t>Kommuner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21536-2024</t>
        </is>
      </c>
      <c r="B54" s="1" t="n">
        <v>45441</v>
      </c>
      <c r="C54" s="1" t="n">
        <v>45852</v>
      </c>
      <c r="D54" t="inlineStr">
        <is>
          <t>VÄSTRA GÖTALANDS LÄN</t>
        </is>
      </c>
      <c r="E54" t="inlineStr">
        <is>
          <t>MÖLNDAL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21755-2024</t>
        </is>
      </c>
      <c r="B55" s="1" t="n">
        <v>45442</v>
      </c>
      <c r="C55" s="1" t="n">
        <v>45852</v>
      </c>
      <c r="D55" t="inlineStr">
        <is>
          <t>VÄSTRA GÖTALANDS LÄN</t>
        </is>
      </c>
      <c r="E55" t="inlineStr">
        <is>
          <t>MÖLNDAL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37680-2024</t>
        </is>
      </c>
      <c r="B56" s="1" t="n">
        <v>45541</v>
      </c>
      <c r="C56" s="1" t="n">
        <v>45852</v>
      </c>
      <c r="D56" t="inlineStr">
        <is>
          <t>VÄSTRA GÖTALANDS LÄN</t>
        </is>
      </c>
      <c r="E56" t="inlineStr">
        <is>
          <t>MÖLNDAL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43067-2024</t>
        </is>
      </c>
      <c r="B57" s="1" t="n">
        <v>45567</v>
      </c>
      <c r="C57" s="1" t="n">
        <v>45852</v>
      </c>
      <c r="D57" t="inlineStr">
        <is>
          <t>VÄSTRA GÖTALANDS LÄN</t>
        </is>
      </c>
      <c r="E57" t="inlineStr">
        <is>
          <t>MÖLNDAL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52555-2024</t>
        </is>
      </c>
      <c r="B58" s="1" t="n">
        <v>45609</v>
      </c>
      <c r="C58" s="1" t="n">
        <v>45852</v>
      </c>
      <c r="D58" t="inlineStr">
        <is>
          <t>VÄSTRA GÖTALANDS LÄN</t>
        </is>
      </c>
      <c r="E58" t="inlineStr">
        <is>
          <t>MÖLNDAL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60809-2024</t>
        </is>
      </c>
      <c r="B59" s="1" t="n">
        <v>45644</v>
      </c>
      <c r="C59" s="1" t="n">
        <v>45852</v>
      </c>
      <c r="D59" t="inlineStr">
        <is>
          <t>VÄSTRA GÖTALANDS LÄN</t>
        </is>
      </c>
      <c r="E59" t="inlineStr">
        <is>
          <t>MÖLNDAL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61178-2024</t>
        </is>
      </c>
      <c r="B60" s="1" t="n">
        <v>45645</v>
      </c>
      <c r="C60" s="1" t="n">
        <v>45852</v>
      </c>
      <c r="D60" t="inlineStr">
        <is>
          <t>VÄSTRA GÖTALANDS LÄN</t>
        </is>
      </c>
      <c r="E60" t="inlineStr">
        <is>
          <t>MÖLNDAL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88-2025</t>
        </is>
      </c>
      <c r="B61" s="1" t="n">
        <v>45659</v>
      </c>
      <c r="C61" s="1" t="n">
        <v>45852</v>
      </c>
      <c r="D61" t="inlineStr">
        <is>
          <t>VÄSTRA GÖTALANDS LÄN</t>
        </is>
      </c>
      <c r="E61" t="inlineStr">
        <is>
          <t>MÖLNDAL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5718-2025</t>
        </is>
      </c>
      <c r="B62" s="1" t="n">
        <v>45694</v>
      </c>
      <c r="C62" s="1" t="n">
        <v>45852</v>
      </c>
      <c r="D62" t="inlineStr">
        <is>
          <t>VÄSTRA GÖTALANDS LÄN</t>
        </is>
      </c>
      <c r="E62" t="inlineStr">
        <is>
          <t>MÖLNDAL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12473-2025</t>
        </is>
      </c>
      <c r="B63" s="1" t="n">
        <v>45730</v>
      </c>
      <c r="C63" s="1" t="n">
        <v>45852</v>
      </c>
      <c r="D63" t="inlineStr">
        <is>
          <t>VÄSTRA GÖTALANDS LÄN</t>
        </is>
      </c>
      <c r="E63" t="inlineStr">
        <is>
          <t>MÖLNDAL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12977-2025</t>
        </is>
      </c>
      <c r="B64" s="1" t="n">
        <v>45734</v>
      </c>
      <c r="C64" s="1" t="n">
        <v>45852</v>
      </c>
      <c r="D64" t="inlineStr">
        <is>
          <t>VÄSTRA GÖTALANDS LÄN</t>
        </is>
      </c>
      <c r="E64" t="inlineStr">
        <is>
          <t>MÖLNDAL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19295-2025</t>
        </is>
      </c>
      <c r="B65" s="1" t="n">
        <v>45769</v>
      </c>
      <c r="C65" s="1" t="n">
        <v>45852</v>
      </c>
      <c r="D65" t="inlineStr">
        <is>
          <t>VÄSTRA GÖTALANDS LÄN</t>
        </is>
      </c>
      <c r="E65" t="inlineStr">
        <is>
          <t>MÖLNDAL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21477-2025</t>
        </is>
      </c>
      <c r="B66" s="1" t="n">
        <v>45782</v>
      </c>
      <c r="C66" s="1" t="n">
        <v>45852</v>
      </c>
      <c r="D66" t="inlineStr">
        <is>
          <t>VÄSTRA GÖTALANDS LÄN</t>
        </is>
      </c>
      <c r="E66" t="inlineStr">
        <is>
          <t>MÖLNDAL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22033-2025</t>
        </is>
      </c>
      <c r="B67" s="1" t="n">
        <v>45785</v>
      </c>
      <c r="C67" s="1" t="n">
        <v>45852</v>
      </c>
      <c r="D67" t="inlineStr">
        <is>
          <t>VÄSTRA GÖTALANDS LÄN</t>
        </is>
      </c>
      <c r="E67" t="inlineStr">
        <is>
          <t>MÖLNDAL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31321-2025</t>
        </is>
      </c>
      <c r="B68" s="1" t="n">
        <v>45833</v>
      </c>
      <c r="C68" s="1" t="n">
        <v>45852</v>
      </c>
      <c r="D68" t="inlineStr">
        <is>
          <t>VÄSTRA GÖTALANDS LÄN</t>
        </is>
      </c>
      <c r="E68" t="inlineStr">
        <is>
          <t>MÖLNDAL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2025-07-14T19:51:15Z</dcterms:created>
  <dcterms:modified xmlns:dcterms="http://purl.org/dc/terms/" xmlns:xsi="http://www.w3.org/2001/XMLSchema-instance" xsi:type="dcterms:W3CDTF">2025-07-14T19:51:15Z</dcterms:modified>
</cp:coreProperties>
</file>