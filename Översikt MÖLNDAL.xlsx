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46294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5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10</v>
      </c>
      <c r="T2" t="n">
        <v>14</v>
      </c>
      <c r="U2" t="n">
        <v>14</v>
      </c>
      <c r="V2" s="2" t="inlineStr">
        <is>
          <t>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46294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9</v>
      </c>
      <c r="T3" t="n">
        <v>9</v>
      </c>
      <c r="U3" t="n">
        <v>9</v>
      </c>
      <c r="V3" s="2" t="inlineStr">
        <is>
          <t>Duvhök
Järnsparv
Talltita
Bergfink
Spillkråka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46294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46294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5</v>
      </c>
      <c r="U5" t="n">
        <v>4</v>
      </c>
      <c r="V5" s="2" t="inlineStr">
        <is>
          <t>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46294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46294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46294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46294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46294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46294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46294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2842-2025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46294</v>
      </c>
      <c r="F13" t="inlineStr">
        <is>
          <t>VÄSTRA GÖTALANDS LÄN</t>
        </is>
      </c>
      <c r="G13" t="inlineStr">
        <is>
          <t>MÖLNDAL</t>
        </is>
      </c>
      <c r="I13" t="n">
        <v>2.7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Tjäder</t>
        </is>
      </c>
      <c r="W13">
        <f>HYPERLINK("https://klasma.github.io/Logging_1481/artfynd/A 2842-2025 artfynd.xlsx", "A 2842-2025")</f>
        <v/>
      </c>
      <c r="X13">
        <f>HYPERLINK("https://klasma.github.io/Logging_1481/kartor/A 2842-2025 karta.png", "A 2842-2025")</f>
        <v/>
      </c>
      <c r="Y13">
        <f>HYPERLINK("https://klasma.github.io/Logging_1481/kartor_geotiff/A 2842-2025 georefererad karta.tif", "A 2842-2025")</f>
        <v/>
      </c>
      <c r="AA13">
        <f>HYPERLINK("https://klasma.github.io/Logging_1481/klagomål/A 2842-2025 FSC-klagomål.docx", "A 2842-2025")</f>
        <v/>
      </c>
      <c r="AB13">
        <f>HYPERLINK("https://klasma.github.io/Logging_1481/klagomålsmail/A 2842-2025 FSC-klagomål mail.docx", "A 2842-2025")</f>
        <v/>
      </c>
      <c r="AC13">
        <f>HYPERLINK("https://klasma.github.io/Logging_1481/tillsyn/A 2842-2025 tillsynsbegäran.docx", "A 2842-2025")</f>
        <v/>
      </c>
      <c r="AD13">
        <f>HYPERLINK("https://klasma.github.io/Logging_1481/tillsynsmail/A 2842-2025 tillsynsbegäran mail.docx", "A 2842-2025")</f>
        <v/>
      </c>
      <c r="AE13">
        <f>HYPERLINK("https://klasma.github.io/Logging_1481/fåglar/A 2842-2025 prioriterade fågelarter.docx", "A 2842-2025")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46294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46294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46294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46294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46294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46294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46294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46294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46294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46294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12977-2025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45734</v>
      </c>
      <c r="E24" s="1" t="n">
        <v>46294</v>
      </c>
      <c r="F24" t="inlineStr">
        <is>
          <t>VÄSTRA GÖTALANDS LÄN</t>
        </is>
      </c>
      <c r="G24" t="inlineStr">
        <is>
          <t>MÖLNDAL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61178-2024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46294</v>
      </c>
      <c r="F25" t="inlineStr">
        <is>
          <t>VÄSTRA GÖTALANDS LÄN</t>
        </is>
      </c>
      <c r="G25" t="inlineStr">
        <is>
          <t>MÖLNDAL</t>
        </is>
      </c>
      <c r="I25" t="n">
        <v>6.6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46294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46294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46294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45127</v>
      </c>
      <c r="E29" s="1" t="n">
        <v>46294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46294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46294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46294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46294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22953-2023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45072</v>
      </c>
      <c r="E34" s="1" t="n">
        <v>46294</v>
      </c>
      <c r="F34" t="inlineStr">
        <is>
          <t>VÄSTRA GÖTALANDS LÄN</t>
        </is>
      </c>
      <c r="G34" t="inlineStr">
        <is>
          <t>MÖLNDAL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62804-2023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45271</v>
      </c>
      <c r="E35" s="1" t="n">
        <v>46294</v>
      </c>
      <c r="F35" t="inlineStr">
        <is>
          <t>VÄSTRA GÖTALANDS LÄN</t>
        </is>
      </c>
      <c r="G35" t="inlineStr">
        <is>
          <t>MÖLNDAL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3811-2024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45321</v>
      </c>
      <c r="E36" s="1" t="n">
        <v>46294</v>
      </c>
      <c r="F36" t="inlineStr">
        <is>
          <t>VÄSTRA GÖTALANDS LÄN</t>
        </is>
      </c>
      <c r="G36" t="inlineStr">
        <is>
          <t>MÖLNDAL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44586</v>
      </c>
      <c r="E37" s="1" t="n">
        <v>46294</v>
      </c>
      <c r="F37" t="inlineStr">
        <is>
          <t>VÄSTRA GÖTALANDS LÄN</t>
        </is>
      </c>
      <c r="G37" t="inlineStr">
        <is>
          <t>MÖLNDAL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45337</v>
      </c>
      <c r="E38" s="1" t="n">
        <v>46294</v>
      </c>
      <c r="F38" t="inlineStr">
        <is>
          <t>VÄSTRA GÖTALANDS LÄN</t>
        </is>
      </c>
      <c r="G38" t="inlineStr">
        <is>
          <t>MÖLNDAL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45659</v>
      </c>
      <c r="E39" s="1" t="n">
        <v>46294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46294</v>
      </c>
      <c r="F40" t="inlineStr">
        <is>
          <t>VÄSTRA GÖTALANDS LÄN</t>
        </is>
      </c>
      <c r="G40" t="inlineStr">
        <is>
          <t>MÖLNDAL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21477-2025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45782</v>
      </c>
      <c r="E41" s="1" t="n">
        <v>46294</v>
      </c>
      <c r="F41" t="inlineStr">
        <is>
          <t>VÄSTRA GÖTALANDS LÄN</t>
        </is>
      </c>
      <c r="G41" t="inlineStr">
        <is>
          <t>MÖLNDAL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60809-2024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46294</v>
      </c>
      <c r="F42" t="inlineStr">
        <is>
          <t>VÄSTRA GÖTALANDS LÄN</t>
        </is>
      </c>
      <c r="G42" t="inlineStr">
        <is>
          <t>MÖLNDAL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46294</v>
      </c>
      <c r="F43" t="inlineStr">
        <is>
          <t>VÄSTRA GÖTALANDS LÄN</t>
        </is>
      </c>
      <c r="G43" t="inlineStr">
        <is>
          <t>MÖLNDAL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46294</v>
      </c>
      <c r="F44" t="inlineStr">
        <is>
          <t>VÄSTRA GÖTALANDS LÄN</t>
        </is>
      </c>
      <c r="G44" t="inlineStr">
        <is>
          <t>MÖLNDAL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35293-2026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46261</v>
      </c>
      <c r="E45" s="1" t="n">
        <v>46294</v>
      </c>
      <c r="F45" t="inlineStr">
        <is>
          <t>VÄSTRA GÖTALANDS LÄN</t>
        </is>
      </c>
      <c r="G45" t="inlineStr">
        <is>
          <t>MÖLNDAL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46294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56133-2023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45240</v>
      </c>
      <c r="E47" s="1" t="n">
        <v>46294</v>
      </c>
      <c r="F47" t="inlineStr">
        <is>
          <t>VÄSTRA GÖTALANDS LÄN</t>
        </is>
      </c>
      <c r="G47" t="inlineStr">
        <is>
          <t>MÖLNDAL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46230</v>
      </c>
      <c r="E48" s="1" t="n">
        <v>46294</v>
      </c>
      <c r="F48" t="inlineStr">
        <is>
          <t>VÄSTRA GÖTALANDS LÄN</t>
        </is>
      </c>
      <c r="G48" t="inlineStr">
        <is>
          <t>MÖLNDAL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11261-2024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45371</v>
      </c>
      <c r="E49" s="1" t="n">
        <v>46294</v>
      </c>
      <c r="F49" t="inlineStr">
        <is>
          <t>VÄSTRA GÖTALANDS LÄN</t>
        </is>
      </c>
      <c r="G49" t="inlineStr">
        <is>
          <t>MÖLNDAL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19295-2025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46294</v>
      </c>
      <c r="F50" t="inlineStr">
        <is>
          <t>VÄSTRA GÖTALANDS LÄN</t>
        </is>
      </c>
      <c r="G50" t="inlineStr">
        <is>
          <t>MÖLNDAL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46281</v>
      </c>
      <c r="E51" s="1" t="n">
        <v>46294</v>
      </c>
      <c r="F51" t="inlineStr">
        <is>
          <t>VÄSTRA GÖTALANDS LÄN</t>
        </is>
      </c>
      <c r="G51" t="inlineStr">
        <is>
          <t>MÖLNDAL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46294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32941-2026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46294</v>
      </c>
      <c r="F53" t="inlineStr">
        <is>
          <t>VÄSTRA GÖTALANDS LÄN</t>
        </is>
      </c>
      <c r="G53" t="inlineStr">
        <is>
          <t>MÖLNDAL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46294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46294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2026-09-29T02:02:00Z</dcterms:created>
  <dcterms:modified xmlns:dcterms="http://purl.org/dc/terms/" xmlns:xsi="http://www.w3.org/2001/XMLSchema-instance" xsi:type="dcterms:W3CDTF">2026-09-29T02:02:00Z</dcterms:modified>
</cp:coreProperties>
</file>