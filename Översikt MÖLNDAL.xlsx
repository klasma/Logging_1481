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22966-2020</t>
        </is>
      </c>
      <c r="B2" s="1" t="n">
        <v>43965</v>
      </c>
      <c r="C2" s="1" t="n">
        <v>45474</v>
      </c>
      <c r="D2" t="inlineStr">
        <is>
          <t>VÄSTRA GÖTALANDS LÄN</t>
        </is>
      </c>
      <c r="E2" t="inlineStr">
        <is>
          <t>MÖLNDAL</t>
        </is>
      </c>
      <c r="F2" t="inlineStr">
        <is>
          <t>Kyrkan</t>
        </is>
      </c>
      <c r="G2" t="n">
        <v>10.8</v>
      </c>
      <c r="H2" t="n">
        <v>3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Talltita
Tjäder
Lopplummer</t>
        </is>
      </c>
      <c r="S2">
        <f>HYPERLINK("https://klasma.github.io/Logging_1481/artfynd/A 22966-2020 artfynd.xlsx", "A 22966-2020")</f>
        <v/>
      </c>
      <c r="T2">
        <f>HYPERLINK("https://klasma.github.io/Logging_1481/kartor/A 22966-2020 karta.png", "A 22966-2020")</f>
        <v/>
      </c>
      <c r="V2">
        <f>HYPERLINK("https://klasma.github.io/Logging_1481/klagomål/A 22966-2020 FSC-klagomål.docx", "A 22966-2020")</f>
        <v/>
      </c>
      <c r="W2">
        <f>HYPERLINK("https://klasma.github.io/Logging_1481/klagomålsmail/A 22966-2020 FSC-klagomål mail.docx", "A 22966-2020")</f>
        <v/>
      </c>
      <c r="X2">
        <f>HYPERLINK("https://klasma.github.io/Logging_1481/tillsyn/A 22966-2020 tillsynsbegäran.docx", "A 22966-2020")</f>
        <v/>
      </c>
      <c r="Y2">
        <f>HYPERLINK("https://klasma.github.io/Logging_1481/tillsynsmail/A 22966-2020 tillsynsbegäran mail.docx", "A 22966-2020")</f>
        <v/>
      </c>
      <c r="Z2">
        <f>HYPERLINK("https://klasma.github.io/Logging_1481/fåglar/A 22966-2020 prioriterade fågelarter.docx", "A 22966-2020")</f>
        <v/>
      </c>
    </row>
    <row r="3" ht="15" customHeight="1">
      <c r="A3" t="inlineStr">
        <is>
          <t>A 46463-2019</t>
        </is>
      </c>
      <c r="B3" s="1" t="n">
        <v>43719</v>
      </c>
      <c r="C3" s="1" t="n">
        <v>45474</v>
      </c>
      <c r="D3" t="inlineStr">
        <is>
          <t>VÄSTRA GÖTALANDS LÄN</t>
        </is>
      </c>
      <c r="E3" t="inlineStr">
        <is>
          <t>MÖLNDAL</t>
        </is>
      </c>
      <c r="F3" t="inlineStr">
        <is>
          <t>Kyrkan</t>
        </is>
      </c>
      <c r="G3" t="n">
        <v>6.4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Spillkråka
Kopparödla</t>
        </is>
      </c>
      <c r="S3">
        <f>HYPERLINK("https://klasma.github.io/Logging_1481/artfynd/A 46463-2019 artfynd.xlsx", "A 46463-2019")</f>
        <v/>
      </c>
      <c r="T3">
        <f>HYPERLINK("https://klasma.github.io/Logging_1481/kartor/A 46463-2019 karta.png", "A 46463-2019")</f>
        <v/>
      </c>
      <c r="V3">
        <f>HYPERLINK("https://klasma.github.io/Logging_1481/klagomål/A 46463-2019 FSC-klagomål.docx", "A 46463-2019")</f>
        <v/>
      </c>
      <c r="W3">
        <f>HYPERLINK("https://klasma.github.io/Logging_1481/klagomålsmail/A 46463-2019 FSC-klagomål mail.docx", "A 46463-2019")</f>
        <v/>
      </c>
      <c r="X3">
        <f>HYPERLINK("https://klasma.github.io/Logging_1481/tillsyn/A 46463-2019 tillsynsbegäran.docx", "A 46463-2019")</f>
        <v/>
      </c>
      <c r="Y3">
        <f>HYPERLINK("https://klasma.github.io/Logging_1481/tillsynsmail/A 46463-2019 tillsynsbegäran mail.docx", "A 46463-2019")</f>
        <v/>
      </c>
      <c r="Z3">
        <f>HYPERLINK("https://klasma.github.io/Logging_1481/fåglar/A 46463-2019 prioriterade fågelarter.docx", "A 46463-2019")</f>
        <v/>
      </c>
    </row>
    <row r="4" ht="15" customHeight="1">
      <c r="A4" t="inlineStr">
        <is>
          <t>A 21759-2021</t>
        </is>
      </c>
      <c r="B4" s="1" t="n">
        <v>44322</v>
      </c>
      <c r="C4" s="1" t="n">
        <v>45474</v>
      </c>
      <c r="D4" t="inlineStr">
        <is>
          <t>VÄSTRA GÖTALANDS LÄN</t>
        </is>
      </c>
      <c r="E4" t="inlineStr">
        <is>
          <t>MÖLNDAL</t>
        </is>
      </c>
      <c r="F4" t="inlineStr">
        <is>
          <t>Kommuner</t>
        </is>
      </c>
      <c r="G4" t="n">
        <v>3.9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Stubbspretmossa
Västlig hakmossa</t>
        </is>
      </c>
      <c r="S4">
        <f>HYPERLINK("https://klasma.github.io/Logging_1481/artfynd/A 21759-2021 artfynd.xlsx", "A 21759-2021")</f>
        <v/>
      </c>
      <c r="T4">
        <f>HYPERLINK("https://klasma.github.io/Logging_1481/kartor/A 21759-2021 karta.png", "A 21759-2021")</f>
        <v/>
      </c>
      <c r="V4">
        <f>HYPERLINK("https://klasma.github.io/Logging_1481/klagomål/A 21759-2021 FSC-klagomål.docx", "A 21759-2021")</f>
        <v/>
      </c>
      <c r="W4">
        <f>HYPERLINK("https://klasma.github.io/Logging_1481/klagomålsmail/A 21759-2021 FSC-klagomål mail.docx", "A 21759-2021")</f>
        <v/>
      </c>
      <c r="X4">
        <f>HYPERLINK("https://klasma.github.io/Logging_1481/tillsyn/A 21759-2021 tillsynsbegäran.docx", "A 21759-2021")</f>
        <v/>
      </c>
      <c r="Y4">
        <f>HYPERLINK("https://klasma.github.io/Logging_1481/tillsynsmail/A 21759-2021 tillsynsbegäran mail.docx", "A 21759-2021")</f>
        <v/>
      </c>
    </row>
    <row r="5" ht="15" customHeight="1">
      <c r="A5" t="inlineStr">
        <is>
          <t>A 73714-2021</t>
        </is>
      </c>
      <c r="B5" s="1" t="n">
        <v>44551</v>
      </c>
      <c r="C5" s="1" t="n">
        <v>45474</v>
      </c>
      <c r="D5" t="inlineStr">
        <is>
          <t>VÄSTRA GÖTALANDS LÄN</t>
        </is>
      </c>
      <c r="E5" t="inlineStr">
        <is>
          <t>MÖLNDAL</t>
        </is>
      </c>
      <c r="G5" t="n">
        <v>2.5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HYPERLINK("https://klasma.github.io/Logging_1481/artfynd/A 73714-2021 artfynd.xlsx", "A 73714-2021")</f>
        <v/>
      </c>
      <c r="T5">
        <f>HYPERLINK("https://klasma.github.io/Logging_1481/kartor/A 73714-2021 karta.png", "A 73714-2021")</f>
        <v/>
      </c>
      <c r="V5">
        <f>HYPERLINK("https://klasma.github.io/Logging_1481/klagomål/A 73714-2021 FSC-klagomål.docx", "A 73714-2021")</f>
        <v/>
      </c>
      <c r="W5">
        <f>HYPERLINK("https://klasma.github.io/Logging_1481/klagomålsmail/A 73714-2021 FSC-klagomål mail.docx", "A 73714-2021")</f>
        <v/>
      </c>
      <c r="X5">
        <f>HYPERLINK("https://klasma.github.io/Logging_1481/tillsyn/A 73714-2021 tillsynsbegäran.docx", "A 73714-2021")</f>
        <v/>
      </c>
      <c r="Y5">
        <f>HYPERLINK("https://klasma.github.io/Logging_1481/tillsynsmail/A 73714-2021 tillsynsbegäran mail.docx", "A 73714-2021")</f>
        <v/>
      </c>
    </row>
    <row r="6" ht="15" customHeight="1">
      <c r="A6" t="inlineStr">
        <is>
          <t>A 49789-2023</t>
        </is>
      </c>
      <c r="B6" s="1" t="n">
        <v>45212</v>
      </c>
      <c r="C6" s="1" t="n">
        <v>45474</v>
      </c>
      <c r="D6" t="inlineStr">
        <is>
          <t>VÄSTRA GÖTALANDS LÄN</t>
        </is>
      </c>
      <c r="E6" t="inlineStr">
        <is>
          <t>MÖLNDAL</t>
        </is>
      </c>
      <c r="G6" t="n">
        <v>3.8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Trubbfjädermossa</t>
        </is>
      </c>
      <c r="S6">
        <f>HYPERLINK("https://klasma.github.io/Logging_1481/artfynd/A 49789-2023 artfynd.xlsx", "A 49789-2023")</f>
        <v/>
      </c>
      <c r="T6">
        <f>HYPERLINK("https://klasma.github.io/Logging_1481/kartor/A 49789-2023 karta.png", "A 49789-2023")</f>
        <v/>
      </c>
      <c r="V6">
        <f>HYPERLINK("https://klasma.github.io/Logging_1481/klagomål/A 49789-2023 FSC-klagomål.docx", "A 49789-2023")</f>
        <v/>
      </c>
      <c r="W6">
        <f>HYPERLINK("https://klasma.github.io/Logging_1481/klagomålsmail/A 49789-2023 FSC-klagomål mail.docx", "A 49789-2023")</f>
        <v/>
      </c>
      <c r="X6">
        <f>HYPERLINK("https://klasma.github.io/Logging_1481/tillsyn/A 49789-2023 tillsynsbegäran.docx", "A 49789-2023")</f>
        <v/>
      </c>
      <c r="Y6">
        <f>HYPERLINK("https://klasma.github.io/Logging_1481/tillsynsmail/A 49789-2023 tillsynsbegäran mail.docx", "A 49789-2023")</f>
        <v/>
      </c>
    </row>
    <row r="7" ht="15" customHeight="1">
      <c r="A7" t="inlineStr">
        <is>
          <t>A 28183-2019</t>
        </is>
      </c>
      <c r="B7" s="1" t="n">
        <v>43621</v>
      </c>
      <c r="C7" s="1" t="n">
        <v>45474</v>
      </c>
      <c r="D7" t="inlineStr">
        <is>
          <t>VÄSTRA GÖTALANDS LÄN</t>
        </is>
      </c>
      <c r="E7" t="inlineStr">
        <is>
          <t>MÖLNDAL</t>
        </is>
      </c>
      <c r="G7" t="n">
        <v>1.4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46051-2019</t>
        </is>
      </c>
      <c r="B8" s="1" t="n">
        <v>43718</v>
      </c>
      <c r="C8" s="1" t="n">
        <v>45474</v>
      </c>
      <c r="D8" t="inlineStr">
        <is>
          <t>VÄSTRA GÖTALANDS LÄN</t>
        </is>
      </c>
      <c r="E8" t="inlineStr">
        <is>
          <t>MÖLNDAL</t>
        </is>
      </c>
      <c r="F8" t="inlineStr">
        <is>
          <t>Kyrkan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50715-2019</t>
        </is>
      </c>
      <c r="B9" s="1" t="n">
        <v>43738</v>
      </c>
      <c r="C9" s="1" t="n">
        <v>45474</v>
      </c>
      <c r="D9" t="inlineStr">
        <is>
          <t>VÄSTRA GÖTALANDS LÄN</t>
        </is>
      </c>
      <c r="E9" t="inlineStr">
        <is>
          <t>MÖLNDAL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58315-2019</t>
        </is>
      </c>
      <c r="B10" s="1" t="n">
        <v>43770</v>
      </c>
      <c r="C10" s="1" t="n">
        <v>45474</v>
      </c>
      <c r="D10" t="inlineStr">
        <is>
          <t>VÄSTRA GÖTALANDS LÄN</t>
        </is>
      </c>
      <c r="E10" t="inlineStr">
        <is>
          <t>MÖLNDAL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58384-2019</t>
        </is>
      </c>
      <c r="B11" s="1" t="n">
        <v>43771</v>
      </c>
      <c r="C11" s="1" t="n">
        <v>45474</v>
      </c>
      <c r="D11" t="inlineStr">
        <is>
          <t>VÄSTRA GÖTALANDS LÄN</t>
        </is>
      </c>
      <c r="E11" t="inlineStr">
        <is>
          <t>MÖLNDAL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60832-2019</t>
        </is>
      </c>
      <c r="B12" s="1" t="n">
        <v>43781</v>
      </c>
      <c r="C12" s="1" t="n">
        <v>45474</v>
      </c>
      <c r="D12" t="inlineStr">
        <is>
          <t>VÄSTRA GÖTALANDS LÄN</t>
        </is>
      </c>
      <c r="E12" t="inlineStr">
        <is>
          <t>MÖLNDAL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62403-2019</t>
        </is>
      </c>
      <c r="B13" s="1" t="n">
        <v>43788</v>
      </c>
      <c r="C13" s="1" t="n">
        <v>45474</v>
      </c>
      <c r="D13" t="inlineStr">
        <is>
          <t>VÄSTRA GÖTALANDS LÄN</t>
        </is>
      </c>
      <c r="E13" t="inlineStr">
        <is>
          <t>MÖLNDAL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2736-2020</t>
        </is>
      </c>
      <c r="B14" s="1" t="n">
        <v>43850</v>
      </c>
      <c r="C14" s="1" t="n">
        <v>45474</v>
      </c>
      <c r="D14" t="inlineStr">
        <is>
          <t>VÄSTRA GÖTALANDS LÄN</t>
        </is>
      </c>
      <c r="E14" t="inlineStr">
        <is>
          <t>MÖLNDAL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3789-2020</t>
        </is>
      </c>
      <c r="B15" s="1" t="n">
        <v>43854</v>
      </c>
      <c r="C15" s="1" t="n">
        <v>45474</v>
      </c>
      <c r="D15" t="inlineStr">
        <is>
          <t>VÄSTRA GÖTALANDS LÄN</t>
        </is>
      </c>
      <c r="E15" t="inlineStr">
        <is>
          <t>MÖLNDAL</t>
        </is>
      </c>
      <c r="G15" t="n">
        <v>4.2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16065-2020</t>
        </is>
      </c>
      <c r="B16" s="1" t="n">
        <v>43916</v>
      </c>
      <c r="C16" s="1" t="n">
        <v>45474</v>
      </c>
      <c r="D16" t="inlineStr">
        <is>
          <t>VÄSTRA GÖTALANDS LÄN</t>
        </is>
      </c>
      <c r="E16" t="inlineStr">
        <is>
          <t>MÖLNDAL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29602-2020</t>
        </is>
      </c>
      <c r="B17" s="1" t="n">
        <v>44005</v>
      </c>
      <c r="C17" s="1" t="n">
        <v>45474</v>
      </c>
      <c r="D17" t="inlineStr">
        <is>
          <t>VÄSTRA GÖTALANDS LÄN</t>
        </is>
      </c>
      <c r="E17" t="inlineStr">
        <is>
          <t>MÖLNDAL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34867-2020</t>
        </is>
      </c>
      <c r="B18" s="1" t="n">
        <v>44036</v>
      </c>
      <c r="C18" s="1" t="n">
        <v>45474</v>
      </c>
      <c r="D18" t="inlineStr">
        <is>
          <t>VÄSTRA GÖTALANDS LÄN</t>
        </is>
      </c>
      <c r="E18" t="inlineStr">
        <is>
          <t>MÖLNDAL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38526-2020</t>
        </is>
      </c>
      <c r="B19" s="1" t="n">
        <v>44061</v>
      </c>
      <c r="C19" s="1" t="n">
        <v>45474</v>
      </c>
      <c r="D19" t="inlineStr">
        <is>
          <t>VÄSTRA GÖTALANDS LÄN</t>
        </is>
      </c>
      <c r="E19" t="inlineStr">
        <is>
          <t>MÖLNDAL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63883-2020</t>
        </is>
      </c>
      <c r="B20" s="1" t="n">
        <v>44166</v>
      </c>
      <c r="C20" s="1" t="n">
        <v>45474</v>
      </c>
      <c r="D20" t="inlineStr">
        <is>
          <t>VÄSTRA GÖTALANDS LÄN</t>
        </is>
      </c>
      <c r="E20" t="inlineStr">
        <is>
          <t>MÖLNDAL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4359-2021</t>
        </is>
      </c>
      <c r="B21" s="1" t="n">
        <v>44223</v>
      </c>
      <c r="C21" s="1" t="n">
        <v>45474</v>
      </c>
      <c r="D21" t="inlineStr">
        <is>
          <t>VÄSTRA GÖTALANDS LÄN</t>
        </is>
      </c>
      <c r="E21" t="inlineStr">
        <is>
          <t>MÖLNDAL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4336-2021</t>
        </is>
      </c>
      <c r="B22" s="1" t="n">
        <v>44223</v>
      </c>
      <c r="C22" s="1" t="n">
        <v>45474</v>
      </c>
      <c r="D22" t="inlineStr">
        <is>
          <t>VÄSTRA GÖTALANDS LÄN</t>
        </is>
      </c>
      <c r="E22" t="inlineStr">
        <is>
          <t>MÖLNDAL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21842-2021</t>
        </is>
      </c>
      <c r="B23" s="1" t="n">
        <v>44322</v>
      </c>
      <c r="C23" s="1" t="n">
        <v>45474</v>
      </c>
      <c r="D23" t="inlineStr">
        <is>
          <t>VÄSTRA GÖTALANDS LÄN</t>
        </is>
      </c>
      <c r="E23" t="inlineStr">
        <is>
          <t>MÖLNDAL</t>
        </is>
      </c>
      <c r="F23" t="inlineStr">
        <is>
          <t>Kommuner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51537-2021</t>
        </is>
      </c>
      <c r="B24" s="1" t="n">
        <v>44462</v>
      </c>
      <c r="C24" s="1" t="n">
        <v>45474</v>
      </c>
      <c r="D24" t="inlineStr">
        <is>
          <t>VÄSTRA GÖTALANDS LÄN</t>
        </is>
      </c>
      <c r="E24" t="inlineStr">
        <is>
          <t>MÖLNDAL</t>
        </is>
      </c>
      <c r="G24" t="n">
        <v>7.2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65698-2021</t>
        </is>
      </c>
      <c r="B25" s="1" t="n">
        <v>44516</v>
      </c>
      <c r="C25" s="1" t="n">
        <v>45474</v>
      </c>
      <c r="D25" t="inlineStr">
        <is>
          <t>VÄSTRA GÖTALANDS LÄN</t>
        </is>
      </c>
      <c r="E25" t="inlineStr">
        <is>
          <t>MÖLNDAL</t>
        </is>
      </c>
      <c r="F25" t="inlineStr">
        <is>
          <t>Kommuner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65714-2021</t>
        </is>
      </c>
      <c r="B26" s="1" t="n">
        <v>44516</v>
      </c>
      <c r="C26" s="1" t="n">
        <v>45474</v>
      </c>
      <c r="D26" t="inlineStr">
        <is>
          <t>VÄSTRA GÖTALANDS LÄN</t>
        </is>
      </c>
      <c r="E26" t="inlineStr">
        <is>
          <t>MÖLNDAL</t>
        </is>
      </c>
      <c r="F26" t="inlineStr">
        <is>
          <t>Kommuner</t>
        </is>
      </c>
      <c r="G26" t="n">
        <v>29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38-2022</t>
        </is>
      </c>
      <c r="B27" s="1" t="n">
        <v>44564</v>
      </c>
      <c r="C27" s="1" t="n">
        <v>45474</v>
      </c>
      <c r="D27" t="inlineStr">
        <is>
          <t>VÄSTRA GÖTALANDS LÄN</t>
        </is>
      </c>
      <c r="E27" t="inlineStr">
        <is>
          <t>MÖLNDAL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3673-2022</t>
        </is>
      </c>
      <c r="B28" s="1" t="n">
        <v>44586</v>
      </c>
      <c r="C28" s="1" t="n">
        <v>45474</v>
      </c>
      <c r="D28" t="inlineStr">
        <is>
          <t>VÄSTRA GÖTALANDS LÄN</t>
        </is>
      </c>
      <c r="E28" t="inlineStr">
        <is>
          <t>MÖLNDAL</t>
        </is>
      </c>
      <c r="G28" t="n">
        <v>5.6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3676-2022</t>
        </is>
      </c>
      <c r="B29" s="1" t="n">
        <v>44586</v>
      </c>
      <c r="C29" s="1" t="n">
        <v>45474</v>
      </c>
      <c r="D29" t="inlineStr">
        <is>
          <t>VÄSTRA GÖTALANDS LÄN</t>
        </is>
      </c>
      <c r="E29" t="inlineStr">
        <is>
          <t>MÖLNDAL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3678-2022</t>
        </is>
      </c>
      <c r="B30" s="1" t="n">
        <v>44586</v>
      </c>
      <c r="C30" s="1" t="n">
        <v>45474</v>
      </c>
      <c r="D30" t="inlineStr">
        <is>
          <t>VÄSTRA GÖTALANDS LÄN</t>
        </is>
      </c>
      <c r="E30" t="inlineStr">
        <is>
          <t>MÖLNDAL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23877-2022</t>
        </is>
      </c>
      <c r="B31" s="1" t="n">
        <v>44722</v>
      </c>
      <c r="C31" s="1" t="n">
        <v>45474</v>
      </c>
      <c r="D31" t="inlineStr">
        <is>
          <t>VÄSTRA GÖTALANDS LÄN</t>
        </is>
      </c>
      <c r="E31" t="inlineStr">
        <is>
          <t>MÖLNDAL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26650-2022</t>
        </is>
      </c>
      <c r="B32" s="1" t="n">
        <v>44739</v>
      </c>
      <c r="C32" s="1" t="n">
        <v>45474</v>
      </c>
      <c r="D32" t="inlineStr">
        <is>
          <t>VÄSTRA GÖTALANDS LÄN</t>
        </is>
      </c>
      <c r="E32" t="inlineStr">
        <is>
          <t>MÖLNDAL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42380-2022</t>
        </is>
      </c>
      <c r="B33" s="1" t="n">
        <v>44831</v>
      </c>
      <c r="C33" s="1" t="n">
        <v>45474</v>
      </c>
      <c r="D33" t="inlineStr">
        <is>
          <t>VÄSTRA GÖTALANDS LÄN</t>
        </is>
      </c>
      <c r="E33" t="inlineStr">
        <is>
          <t>MÖLNDAL</t>
        </is>
      </c>
      <c r="F33" t="inlineStr">
        <is>
          <t>Kommuner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42368-2022</t>
        </is>
      </c>
      <c r="B34" s="1" t="n">
        <v>44831</v>
      </c>
      <c r="C34" s="1" t="n">
        <v>45474</v>
      </c>
      <c r="D34" t="inlineStr">
        <is>
          <t>VÄSTRA GÖTALANDS LÄN</t>
        </is>
      </c>
      <c r="E34" t="inlineStr">
        <is>
          <t>MÖLNDAL</t>
        </is>
      </c>
      <c r="F34" t="inlineStr">
        <is>
          <t>Kommuner</t>
        </is>
      </c>
      <c r="G34" t="n">
        <v>6.8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42386-2022</t>
        </is>
      </c>
      <c r="B35" s="1" t="n">
        <v>44831</v>
      </c>
      <c r="C35" s="1" t="n">
        <v>45474</v>
      </c>
      <c r="D35" t="inlineStr">
        <is>
          <t>VÄSTRA GÖTALANDS LÄN</t>
        </is>
      </c>
      <c r="E35" t="inlineStr">
        <is>
          <t>MÖLNDAL</t>
        </is>
      </c>
      <c r="F35" t="inlineStr">
        <is>
          <t>Kommuner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42415-2022</t>
        </is>
      </c>
      <c r="B36" s="1" t="n">
        <v>44831</v>
      </c>
      <c r="C36" s="1" t="n">
        <v>45474</v>
      </c>
      <c r="D36" t="inlineStr">
        <is>
          <t>VÄSTRA GÖTALANDS LÄN</t>
        </is>
      </c>
      <c r="E36" t="inlineStr">
        <is>
          <t>MÖLNDAL</t>
        </is>
      </c>
      <c r="F36" t="inlineStr">
        <is>
          <t>Kommuner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8639-2023</t>
        </is>
      </c>
      <c r="B37" s="1" t="n">
        <v>44977</v>
      </c>
      <c r="C37" s="1" t="n">
        <v>45474</v>
      </c>
      <c r="D37" t="inlineStr">
        <is>
          <t>VÄSTRA GÖTALANDS LÄN</t>
        </is>
      </c>
      <c r="E37" t="inlineStr">
        <is>
          <t>MÖLNDAL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16447-2023</t>
        </is>
      </c>
      <c r="B38" s="1" t="n">
        <v>45029</v>
      </c>
      <c r="C38" s="1" t="n">
        <v>45474</v>
      </c>
      <c r="D38" t="inlineStr">
        <is>
          <t>VÄSTRA GÖTALANDS LÄN</t>
        </is>
      </c>
      <c r="E38" t="inlineStr">
        <is>
          <t>MÖLNDAL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22562-2023</t>
        </is>
      </c>
      <c r="B39" s="1" t="n">
        <v>45071</v>
      </c>
      <c r="C39" s="1" t="n">
        <v>45474</v>
      </c>
      <c r="D39" t="inlineStr">
        <is>
          <t>VÄSTRA GÖTALANDS LÄN</t>
        </is>
      </c>
      <c r="E39" t="inlineStr">
        <is>
          <t>MÖLNDAL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22953-2023</t>
        </is>
      </c>
      <c r="B40" s="1" t="n">
        <v>45072</v>
      </c>
      <c r="C40" s="1" t="n">
        <v>45474</v>
      </c>
      <c r="D40" t="inlineStr">
        <is>
          <t>VÄSTRA GÖTALANDS LÄN</t>
        </is>
      </c>
      <c r="E40" t="inlineStr">
        <is>
          <t>MÖLNDAL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24771-2023</t>
        </is>
      </c>
      <c r="B41" s="1" t="n">
        <v>45084</v>
      </c>
      <c r="C41" s="1" t="n">
        <v>45474</v>
      </c>
      <c r="D41" t="inlineStr">
        <is>
          <t>VÄSTRA GÖTALANDS LÄN</t>
        </is>
      </c>
      <c r="E41" t="inlineStr">
        <is>
          <t>MÖLNDAL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33201-2023</t>
        </is>
      </c>
      <c r="B42" s="1" t="n">
        <v>45127</v>
      </c>
      <c r="C42" s="1" t="n">
        <v>45474</v>
      </c>
      <c r="D42" t="inlineStr">
        <is>
          <t>VÄSTRA GÖTALANDS LÄN</t>
        </is>
      </c>
      <c r="E42" t="inlineStr">
        <is>
          <t>MÖLNDAL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56133-2023</t>
        </is>
      </c>
      <c r="B43" s="1" t="n">
        <v>45240</v>
      </c>
      <c r="C43" s="1" t="n">
        <v>45474</v>
      </c>
      <c r="D43" t="inlineStr">
        <is>
          <t>VÄSTRA GÖTALANDS LÄN</t>
        </is>
      </c>
      <c r="E43" t="inlineStr">
        <is>
          <t>MÖLNDAL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62804-2023</t>
        </is>
      </c>
      <c r="B44" s="1" t="n">
        <v>45271</v>
      </c>
      <c r="C44" s="1" t="n">
        <v>45474</v>
      </c>
      <c r="D44" t="inlineStr">
        <is>
          <t>VÄSTRA GÖTALANDS LÄN</t>
        </is>
      </c>
      <c r="E44" t="inlineStr">
        <is>
          <t>MÖLNDAL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3811-2024</t>
        </is>
      </c>
      <c r="B45" s="1" t="n">
        <v>45321</v>
      </c>
      <c r="C45" s="1" t="n">
        <v>45474</v>
      </c>
      <c r="D45" t="inlineStr">
        <is>
          <t>VÄSTRA GÖTALANDS LÄN</t>
        </is>
      </c>
      <c r="E45" t="inlineStr">
        <is>
          <t>MÖLNDAL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6042-2024</t>
        </is>
      </c>
      <c r="B46" s="1" t="n">
        <v>45336</v>
      </c>
      <c r="C46" s="1" t="n">
        <v>45474</v>
      </c>
      <c r="D46" t="inlineStr">
        <is>
          <t>VÄSTRA GÖTALANDS LÄN</t>
        </is>
      </c>
      <c r="E46" t="inlineStr">
        <is>
          <t>MÖLNDAL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6258-2024</t>
        </is>
      </c>
      <c r="B47" s="1" t="n">
        <v>45337</v>
      </c>
      <c r="C47" s="1" t="n">
        <v>45474</v>
      </c>
      <c r="D47" t="inlineStr">
        <is>
          <t>VÄSTRA GÖTALANDS LÄN</t>
        </is>
      </c>
      <c r="E47" t="inlineStr">
        <is>
          <t>MÖLNDAL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11261-2024</t>
        </is>
      </c>
      <c r="B48" s="1" t="n">
        <v>45371</v>
      </c>
      <c r="C48" s="1" t="n">
        <v>45474</v>
      </c>
      <c r="D48" t="inlineStr">
        <is>
          <t>VÄSTRA GÖTALANDS LÄN</t>
        </is>
      </c>
      <c r="E48" t="inlineStr">
        <is>
          <t>MÖLNDAL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11256-2024</t>
        </is>
      </c>
      <c r="B49" s="1" t="n">
        <v>45371</v>
      </c>
      <c r="C49" s="1" t="n">
        <v>45474</v>
      </c>
      <c r="D49" t="inlineStr">
        <is>
          <t>VÄSTRA GÖTALANDS LÄN</t>
        </is>
      </c>
      <c r="E49" t="inlineStr">
        <is>
          <t>MÖLNDAL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12273-2024</t>
        </is>
      </c>
      <c r="B50" s="1" t="n">
        <v>45378</v>
      </c>
      <c r="C50" s="1" t="n">
        <v>45474</v>
      </c>
      <c r="D50" t="inlineStr">
        <is>
          <t>VÄSTRA GÖTALANDS LÄN</t>
        </is>
      </c>
      <c r="E50" t="inlineStr">
        <is>
          <t>MÖLNDAL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12899-2024</t>
        </is>
      </c>
      <c r="B51" s="1" t="n">
        <v>45385</v>
      </c>
      <c r="C51" s="1" t="n">
        <v>45474</v>
      </c>
      <c r="D51" t="inlineStr">
        <is>
          <t>VÄSTRA GÖTALANDS LÄN</t>
        </is>
      </c>
      <c r="E51" t="inlineStr">
        <is>
          <t>MÖLNDAL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17567-2024</t>
        </is>
      </c>
      <c r="B52" s="1" t="n">
        <v>45415</v>
      </c>
      <c r="C52" s="1" t="n">
        <v>45474</v>
      </c>
      <c r="D52" t="inlineStr">
        <is>
          <t>VÄSTRA GÖTALANDS LÄN</t>
        </is>
      </c>
      <c r="E52" t="inlineStr">
        <is>
          <t>MÖLNDAL</t>
        </is>
      </c>
      <c r="F52" t="inlineStr">
        <is>
          <t>Kommuner</t>
        </is>
      </c>
      <c r="G52" t="n">
        <v>5.2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21536-2024</t>
        </is>
      </c>
      <c r="B53" s="1" t="n">
        <v>45441</v>
      </c>
      <c r="C53" s="1" t="n">
        <v>45474</v>
      </c>
      <c r="D53" t="inlineStr">
        <is>
          <t>VÄSTRA GÖTALANDS LÄN</t>
        </is>
      </c>
      <c r="E53" t="inlineStr">
        <is>
          <t>MÖLNDAL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>
      <c r="A54" t="inlineStr">
        <is>
          <t>A 21755-2024</t>
        </is>
      </c>
      <c r="B54" s="1" t="n">
        <v>45442</v>
      </c>
      <c r="C54" s="1" t="n">
        <v>45474</v>
      </c>
      <c r="D54" t="inlineStr">
        <is>
          <t>VÄSTRA GÖTALANDS LÄN</t>
        </is>
      </c>
      <c r="E54" t="inlineStr">
        <is>
          <t>MÖLNDAL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2024-07-01T10:14:52Z</dcterms:created>
  <dcterms:modified xmlns:dcterms="http://purl.org/dc/terms/" xmlns:xsi="http://www.w3.org/2001/XMLSchema-instance" xsi:type="dcterms:W3CDTF">2024-07-01T10:14:52Z</dcterms:modified>
</cp:coreProperties>
</file>