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46217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Y2">
        <f>HYPERLINK("https://klasma.github.io/Logging_1481/klagomål/A 61167-2024 FSC-klagomål.docx", "A 61167-2024")</f>
        <v/>
      </c>
      <c r="Z2">
        <f>HYPERLINK("https://klasma.github.io/Logging_1481/klagomålsmail/A 61167-2024 FSC-klagomål mail.docx", "A 61167-2024")</f>
        <v/>
      </c>
      <c r="AA2">
        <f>HYPERLINK("https://klasma.github.io/Logging_1481/tillsyn/A 61167-2024 tillsynsbegäran.docx", "A 61167-2024")</f>
        <v/>
      </c>
      <c r="AB2">
        <f>HYPERLINK("https://klasma.github.io/Logging_1481/tillsynsmail/A 61167-2024 tillsynsbegäran mail.docx", "A 61167-2024")</f>
        <v/>
      </c>
      <c r="AC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46217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Y3">
        <f>HYPERLINK("https://klasma.github.io/Logging_1481/klagomål/A 73714-2021 FSC-klagomål.docx", "A 73714-2021")</f>
        <v/>
      </c>
      <c r="Z3">
        <f>HYPERLINK("https://klasma.github.io/Logging_1481/klagomålsmail/A 73714-2021 FSC-klagomål mail.docx", "A 73714-2021")</f>
        <v/>
      </c>
      <c r="AA3">
        <f>HYPERLINK("https://klasma.github.io/Logging_1481/tillsyn/A 73714-2021 tillsynsbegäran.docx", "A 73714-2021")</f>
        <v/>
      </c>
      <c r="AB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46217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Y4">
        <f>HYPERLINK("https://klasma.github.io/Logging_1481/klagomål/A 31321-2025 FSC-klagomål.docx", "A 31321-2025")</f>
        <v/>
      </c>
      <c r="Z4">
        <f>HYPERLINK("https://klasma.github.io/Logging_1481/klagomålsmail/A 31321-2025 FSC-klagomål mail.docx", "A 31321-2025")</f>
        <v/>
      </c>
      <c r="AA4">
        <f>HYPERLINK("https://klasma.github.io/Logging_1481/tillsyn/A 31321-2025 tillsynsbegäran.docx", "A 31321-2025")</f>
        <v/>
      </c>
      <c r="AB4">
        <f>HYPERLINK("https://klasma.github.io/Logging_1481/tillsynsmail/A 31321-2025 tillsynsbegäran mail.docx", "A 31321-2025")</f>
        <v/>
      </c>
      <c r="AC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46008</v>
      </c>
      <c r="E5" s="1" t="n">
        <v>46217</v>
      </c>
      <c r="F5" t="inlineStr">
        <is>
          <t>VÄSTRA GÖTALANDS LÄN</t>
        </is>
      </c>
      <c r="G5" t="inlineStr">
        <is>
          <t>MÖLNDAL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4</v>
      </c>
      <c r="U5" s="2" t="inlineStr">
        <is>
          <t>Spillkråka
Tjäder</t>
        </is>
      </c>
      <c r="V5">
        <f>HYPERLINK("https://klasma.github.io/Logging_1481/artfynd/A 62768-2025 artfynd.xlsx", "A 62768-2025")</f>
        <v/>
      </c>
      <c r="W5">
        <f>HYPERLINK("https://klasma.github.io/Logging_1481/kartor/A 62768-2025 karta.png", "A 62768-2025")</f>
        <v/>
      </c>
      <c r="Y5">
        <f>HYPERLINK("https://klasma.github.io/Logging_1481/klagomål/A 62768-2025 FSC-klagomål.docx", "A 62768-2025")</f>
        <v/>
      </c>
      <c r="Z5">
        <f>HYPERLINK("https://klasma.github.io/Logging_1481/klagomålsmail/A 62768-2025 FSC-klagomål mail.docx", "A 62768-2025")</f>
        <v/>
      </c>
      <c r="AA5">
        <f>HYPERLINK("https://klasma.github.io/Logging_1481/tillsyn/A 62768-2025 tillsynsbegäran.docx", "A 62768-2025")</f>
        <v/>
      </c>
      <c r="AB5">
        <f>HYPERLINK("https://klasma.github.io/Logging_1481/tillsynsmail/A 62768-2025 tillsynsbegäran mail.docx", "A 62768-2025")</f>
        <v/>
      </c>
      <c r="AC5">
        <f>HYPERLINK("https://klasma.github.io/Logging_1481/fåglar/A 62768-2025 prioriterade fågelarter.docx", "A 62768-2025")</f>
        <v/>
      </c>
    </row>
    <row r="6" ht="15" customHeight="1">
      <c r="A6" t="inlineStr">
        <is>
          <t>A 46384-2025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45925</v>
      </c>
      <c r="E6" s="1" t="n">
        <v>46217</v>
      </c>
      <c r="F6" t="inlineStr">
        <is>
          <t>VÄSTRA GÖTALANDS LÄN</t>
        </is>
      </c>
      <c r="G6" t="inlineStr">
        <is>
          <t>MÖLNDAL</t>
        </is>
      </c>
      <c r="I6" t="n">
        <v>3.1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Duvhök
Tjäder</t>
        </is>
      </c>
      <c r="V6">
        <f>HYPERLINK("https://klasma.github.io/Logging_1481/artfynd/A 46384-2025 artfynd.xlsx", "A 46384-2025")</f>
        <v/>
      </c>
      <c r="W6">
        <f>HYPERLINK("https://klasma.github.io/Logging_1481/kartor/A 46384-2025 karta.png", "A 46384-2025")</f>
        <v/>
      </c>
      <c r="Y6">
        <f>HYPERLINK("https://klasma.github.io/Logging_1481/klagomål/A 46384-2025 FSC-klagomål.docx", "A 46384-2025")</f>
        <v/>
      </c>
      <c r="Z6">
        <f>HYPERLINK("https://klasma.github.io/Logging_1481/klagomålsmail/A 46384-2025 FSC-klagomål mail.docx", "A 46384-2025")</f>
        <v/>
      </c>
      <c r="AA6">
        <f>HYPERLINK("https://klasma.github.io/Logging_1481/tillsyn/A 46384-2025 tillsynsbegäran.docx", "A 46384-2025")</f>
        <v/>
      </c>
      <c r="AB6">
        <f>HYPERLINK("https://klasma.github.io/Logging_1481/tillsynsmail/A 46384-2025 tillsynsbegäran mail.docx", "A 46384-2025")</f>
        <v/>
      </c>
      <c r="AC6">
        <f>HYPERLINK("https://klasma.github.io/Logging_1481/fåglar/A 46384-2025 prioriterade fågelarter.docx", "A 46384-2025")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46217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Duvhök
Spillkråka</t>
        </is>
      </c>
      <c r="V7">
        <f>HYPERLINK("https://klasma.github.io/Logging_1481/artfynd/A 393-2025 artfynd.xlsx", "A 393-2025")</f>
        <v/>
      </c>
      <c r="W7">
        <f>HYPERLINK("https://klasma.github.io/Logging_1481/kartor/A 393-2025 karta.png", "A 393-2025")</f>
        <v/>
      </c>
      <c r="Y7">
        <f>HYPERLINK("https://klasma.github.io/Logging_1481/klagomål/A 393-2025 FSC-klagomål.docx", "A 393-2025")</f>
        <v/>
      </c>
      <c r="Z7">
        <f>HYPERLINK("https://klasma.github.io/Logging_1481/klagomålsmail/A 393-2025 FSC-klagomål mail.docx", "A 393-2025")</f>
        <v/>
      </c>
      <c r="AA7">
        <f>HYPERLINK("https://klasma.github.io/Logging_1481/tillsyn/A 393-2025 tillsynsbegäran.docx", "A 393-2025")</f>
        <v/>
      </c>
      <c r="AB7">
        <f>HYPERLINK("https://klasma.github.io/Logging_1481/tillsynsmail/A 393-2025 tillsynsbegäran mail.docx", "A 393-2025")</f>
        <v/>
      </c>
      <c r="AC7">
        <f>HYPERLINK("https://klasma.github.io/Logging_1481/fåglar/A 393-2025 prioriterade fågelarter.docx", "A 393-2025")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46217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Klippfrullania
Trubbfjädermossa</t>
        </is>
      </c>
      <c r="V8">
        <f>HYPERLINK("https://klasma.github.io/Logging_1481/artfynd/A 49789-2023 artfynd.xlsx", "A 49789-2023")</f>
        <v/>
      </c>
      <c r="W8">
        <f>HYPERLINK("https://klasma.github.io/Logging_1481/kartor/A 49789-2023 karta.png", "A 49789-2023")</f>
        <v/>
      </c>
      <c r="Y8">
        <f>HYPERLINK("https://klasma.github.io/Logging_1481/klagomål/A 49789-2023 FSC-klagomål.docx", "A 49789-2023")</f>
        <v/>
      </c>
      <c r="Z8">
        <f>HYPERLINK("https://klasma.github.io/Logging_1481/klagomålsmail/A 49789-2023 FSC-klagomål mail.docx", "A 49789-2023")</f>
        <v/>
      </c>
      <c r="AA8">
        <f>HYPERLINK("https://klasma.github.io/Logging_1481/tillsyn/A 49789-2023 tillsynsbegäran.docx", "A 49789-2023")</f>
        <v/>
      </c>
      <c r="AB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46217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Y9">
        <f>HYPERLINK("https://klasma.github.io/Logging_1481/klagomål/A 42415-2022 FSC-klagomål.docx", "A 42415-2022")</f>
        <v/>
      </c>
      <c r="Z9">
        <f>HYPERLINK("https://klasma.github.io/Logging_1481/klagomålsmail/A 42415-2022 FSC-klagomål mail.docx", "A 42415-2022")</f>
        <v/>
      </c>
      <c r="AA9">
        <f>HYPERLINK("https://klasma.github.io/Logging_1481/tillsyn/A 42415-2022 tillsynsbegäran.docx", "A 42415-2022")</f>
        <v/>
      </c>
      <c r="AB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46217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Y10">
        <f>HYPERLINK("https://klasma.github.io/Logging_1481/klagomål/A 3678-2022 FSC-klagomål.docx", "A 3678-2022")</f>
        <v/>
      </c>
      <c r="Z10">
        <f>HYPERLINK("https://klasma.github.io/Logging_1481/klagomålsmail/A 3678-2022 FSC-klagomål mail.docx", "A 3678-2022")</f>
        <v/>
      </c>
      <c r="AA10">
        <f>HYPERLINK("https://klasma.github.io/Logging_1481/tillsyn/A 3678-2022 tillsynsbegäran.docx", "A 3678-2022")</f>
        <v/>
      </c>
      <c r="AB10">
        <f>HYPERLINK("https://klasma.github.io/Logging_1481/tillsynsmail/A 3678-2022 tillsynsbegäran mail.docx", "A 3678-2022")</f>
        <v/>
      </c>
      <c r="AC10">
        <f>HYPERLINK("https://klasma.github.io/Logging_1481/fåglar/A 3678-2022 prioriterade fågelarter.docx", "A 3678-2022")</f>
        <v/>
      </c>
    </row>
    <row r="11" ht="15" customHeight="1">
      <c r="A11" t="inlineStr">
        <is>
          <t>A 6042-2024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46217</v>
      </c>
      <c r="F11" t="inlineStr">
        <is>
          <t>VÄSTRA GÖTALANDS LÄN</t>
        </is>
      </c>
      <c r="G11" t="inlineStr">
        <is>
          <t>MÖLNDAL</t>
        </is>
      </c>
      <c r="I11" t="n">
        <v>1.7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Guldlockmossa</t>
        </is>
      </c>
      <c r="V11">
        <f>HYPERLINK("https://klasma.github.io/Logging_1481/artfynd/A 6042-2024 artfynd.xlsx", "A 6042-2024")</f>
        <v/>
      </c>
      <c r="W11">
        <f>HYPERLINK("https://klasma.github.io/Logging_1481/kartor/A 6042-2024 karta.png", "A 6042-2024")</f>
        <v/>
      </c>
      <c r="Y11">
        <f>HYPERLINK("https://klasma.github.io/Logging_1481/klagomål/A 6042-2024 FSC-klagomål.docx", "A 6042-2024")</f>
        <v/>
      </c>
      <c r="Z11">
        <f>HYPERLINK("https://klasma.github.io/Logging_1481/klagomålsmail/A 6042-2024 FSC-klagomål mail.docx", "A 6042-2024")</f>
        <v/>
      </c>
      <c r="AA11">
        <f>HYPERLINK("https://klasma.github.io/Logging_1481/tillsyn/A 6042-2024 tillsynsbegäran.docx", "A 6042-2024")</f>
        <v/>
      </c>
      <c r="AB11">
        <f>HYPERLINK("https://klasma.github.io/Logging_1481/tillsynsmail/A 6042-2024 tillsynsbegäran mail.docx", "A 6042-2024")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46217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HYPERLINK("https://klasma.github.io/Logging_1481/artfynd/A 44926-2025 artfynd.xlsx", "A 44926-2025")</f>
        <v/>
      </c>
      <c r="W12">
        <f>HYPERLINK("https://klasma.github.io/Logging_1481/kartor/A 44926-2025 karta.png", "A 44926-2025")</f>
        <v/>
      </c>
      <c r="Y12">
        <f>HYPERLINK("https://klasma.github.io/Logging_1481/klagomål/A 44926-2025 FSC-klagomål.docx", "A 44926-2025")</f>
        <v/>
      </c>
      <c r="Z12">
        <f>HYPERLINK("https://klasma.github.io/Logging_1481/klagomålsmail/A 44926-2025 FSC-klagomål mail.docx", "A 44926-2025")</f>
        <v/>
      </c>
      <c r="AA12">
        <f>HYPERLINK("https://klasma.github.io/Logging_1481/tillsyn/A 44926-2025 tillsynsbegäran.docx", "A 44926-2025")</f>
        <v/>
      </c>
      <c r="AB12">
        <f>HYPERLINK("https://klasma.github.io/Logging_1481/tillsynsmail/A 44926-2025 tillsynsbegäran mail.docx", "A 44926-2025")</f>
        <v/>
      </c>
    </row>
    <row r="13" ht="15" customHeight="1">
      <c r="A13" t="inlineStr">
        <is>
          <t>A 46379-2025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45925</v>
      </c>
      <c r="E13" s="1" t="n">
        <v>46217</v>
      </c>
      <c r="F13" t="inlineStr">
        <is>
          <t>VÄSTRA GÖTALANDS LÄN</t>
        </is>
      </c>
      <c r="G13" t="inlineStr">
        <is>
          <t>MÖLNDAL</t>
        </is>
      </c>
      <c r="I13" t="n">
        <v>4.8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Fiskgjuse</t>
        </is>
      </c>
      <c r="V13">
        <f>HYPERLINK("https://klasma.github.io/Logging_1481/artfynd/A 46379-2025 artfynd.xlsx", "A 46379-2025")</f>
        <v/>
      </c>
      <c r="W13">
        <f>HYPERLINK("https://klasma.github.io/Logging_1481/kartor/A 46379-2025 karta.png", "A 46379-2025")</f>
        <v/>
      </c>
      <c r="Y13">
        <f>HYPERLINK("https://klasma.github.io/Logging_1481/klagomål/A 46379-2025 FSC-klagomål.docx", "A 46379-2025")</f>
        <v/>
      </c>
      <c r="Z13">
        <f>HYPERLINK("https://klasma.github.io/Logging_1481/klagomålsmail/A 46379-2025 FSC-klagomål mail.docx", "A 46379-2025")</f>
        <v/>
      </c>
      <c r="AA13">
        <f>HYPERLINK("https://klasma.github.io/Logging_1481/tillsyn/A 46379-2025 tillsynsbegäran.docx", "A 46379-2025")</f>
        <v/>
      </c>
      <c r="AB13">
        <f>HYPERLINK("https://klasma.github.io/Logging_1481/tillsynsmail/A 46379-2025 tillsynsbegäran mail.docx", "A 46379-2025")</f>
        <v/>
      </c>
      <c r="AC13">
        <f>HYPERLINK("https://klasma.github.io/Logging_1481/fåglar/A 46379-2025 prioriterade fågelarter.docx", "A 46379-2025")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46217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Tjäder</t>
        </is>
      </c>
      <c r="V14">
        <f>HYPERLINK("https://klasma.github.io/Logging_1481/artfynd/A 48265-2025 artfynd.xlsx", "A 48265-2025")</f>
        <v/>
      </c>
      <c r="W14">
        <f>HYPERLINK("https://klasma.github.io/Logging_1481/kartor/A 48265-2025 karta.png", "A 48265-2025")</f>
        <v/>
      </c>
      <c r="Y14">
        <f>HYPERLINK("https://klasma.github.io/Logging_1481/klagomål/A 48265-2025 FSC-klagomål.docx", "A 48265-2025")</f>
        <v/>
      </c>
      <c r="Z14">
        <f>HYPERLINK("https://klasma.github.io/Logging_1481/klagomålsmail/A 48265-2025 FSC-klagomål mail.docx", "A 48265-2025")</f>
        <v/>
      </c>
      <c r="AA14">
        <f>HYPERLINK("https://klasma.github.io/Logging_1481/tillsyn/A 48265-2025 tillsynsbegäran.docx", "A 48265-2025")</f>
        <v/>
      </c>
      <c r="AB14">
        <f>HYPERLINK("https://klasma.github.io/Logging_1481/tillsynsmail/A 48265-2025 tillsynsbegäran mail.docx", "A 48265-2025")</f>
        <v/>
      </c>
      <c r="AC14">
        <f>HYPERLINK("https://klasma.github.io/Logging_1481/fåglar/A 48265-2025 prioriterade fågelarter.docx", "A 48265-2025")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46217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Tjäder</t>
        </is>
      </c>
      <c r="V15">
        <f>HYPERLINK("https://klasma.github.io/Logging_1481/artfynd/A 2842-2025 artfynd.xlsx", "A 2842-2025")</f>
        <v/>
      </c>
      <c r="W15">
        <f>HYPERLINK("https://klasma.github.io/Logging_1481/kartor/A 2842-2025 karta.png", "A 2842-2025")</f>
        <v/>
      </c>
      <c r="Y15">
        <f>HYPERLINK("https://klasma.github.io/Logging_1481/klagomål/A 2842-2025 FSC-klagomål.docx", "A 2842-2025")</f>
        <v/>
      </c>
      <c r="Z15">
        <f>HYPERLINK("https://klasma.github.io/Logging_1481/klagomålsmail/A 2842-2025 FSC-klagomål mail.docx", "A 2842-2025")</f>
        <v/>
      </c>
      <c r="AA15">
        <f>HYPERLINK("https://klasma.github.io/Logging_1481/tillsyn/A 2842-2025 tillsynsbegäran.docx", "A 2842-2025")</f>
        <v/>
      </c>
      <c r="AB15">
        <f>HYPERLINK("https://klasma.github.io/Logging_1481/tillsynsmail/A 2842-2025 tillsynsbegäran mail.docx", "A 2842-2025")</f>
        <v/>
      </c>
      <c r="AC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46217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Mattlummer</t>
        </is>
      </c>
      <c r="V16">
        <f>HYPERLINK("https://klasma.github.io/Logging_1481/artfynd/A 34574-2025 artfynd.xlsx", "A 34574-2025")</f>
        <v/>
      </c>
      <c r="W16">
        <f>HYPERLINK("https://klasma.github.io/Logging_1481/kartor/A 34574-2025 karta.png", "A 34574-2025")</f>
        <v/>
      </c>
      <c r="Y16">
        <f>HYPERLINK("https://klasma.github.io/Logging_1481/klagomål/A 34574-2025 FSC-klagomål.docx", "A 34574-2025")</f>
        <v/>
      </c>
      <c r="Z16">
        <f>HYPERLINK("https://klasma.github.io/Logging_1481/klagomålsmail/A 34574-2025 FSC-klagomål mail.docx", "A 34574-2025")</f>
        <v/>
      </c>
      <c r="AA16">
        <f>HYPERLINK("https://klasma.github.io/Logging_1481/tillsyn/A 34574-2025 tillsynsbegäran.docx", "A 34574-2025")</f>
        <v/>
      </c>
      <c r="AB16">
        <f>HYPERLINK("https://klasma.github.io/Logging_1481/tillsynsmail/A 34574-2025 tillsynsbegäran mail.docx", "A 34574-2025")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46217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46217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46217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46217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46217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46217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46217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46217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46217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45127</v>
      </c>
      <c r="E26" s="1" t="n">
        <v>46217</v>
      </c>
      <c r="F26" t="inlineStr">
        <is>
          <t>VÄSTRA GÖTALANDS LÄN</t>
        </is>
      </c>
      <c r="G26" t="inlineStr">
        <is>
          <t>MÖLNDAL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37570-2025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45880</v>
      </c>
      <c r="E27" s="1" t="n">
        <v>46217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46217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8639-2023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46217</v>
      </c>
      <c r="F29" t="inlineStr">
        <is>
          <t>VÄSTRA GÖTALANDS LÄN</t>
        </is>
      </c>
      <c r="G29" t="inlineStr">
        <is>
          <t>MÖLNDAL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60809-2024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46217</v>
      </c>
      <c r="F30" t="inlineStr">
        <is>
          <t>VÄSTRA GÖTALANDS LÄN</t>
        </is>
      </c>
      <c r="G30" t="inlineStr">
        <is>
          <t>MÖLNDAL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88-2025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45659</v>
      </c>
      <c r="E31" s="1" t="n">
        <v>46217</v>
      </c>
      <c r="F31" t="inlineStr">
        <is>
          <t>VÄSTRA GÖTALANDS LÄN</t>
        </is>
      </c>
      <c r="G31" t="inlineStr">
        <is>
          <t>MÖLNDAL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61178-2024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46217</v>
      </c>
      <c r="F32" t="inlineStr">
        <is>
          <t>VÄSTRA GÖTALANDS LÄN</t>
        </is>
      </c>
      <c r="G32" t="inlineStr">
        <is>
          <t>MÖLNDAL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43067-2024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45567</v>
      </c>
      <c r="E33" s="1" t="n">
        <v>46217</v>
      </c>
      <c r="F33" t="inlineStr">
        <is>
          <t>VÄSTRA GÖTALANDS LÄN</t>
        </is>
      </c>
      <c r="G33" t="inlineStr">
        <is>
          <t>MÖLNDAL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45441</v>
      </c>
      <c r="E34" s="1" t="n">
        <v>46217</v>
      </c>
      <c r="F34" t="inlineStr">
        <is>
          <t>VÄSTRA GÖTALANDS LÄN</t>
        </is>
      </c>
      <c r="G34" t="inlineStr">
        <is>
          <t>MÖLNDAL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28291-2026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46196</v>
      </c>
      <c r="E35" s="1" t="n">
        <v>46217</v>
      </c>
      <c r="F35" t="inlineStr">
        <is>
          <t>VÄSTRA GÖTALANDS LÄN</t>
        </is>
      </c>
      <c r="G35" t="inlineStr">
        <is>
          <t>MÖLNDAL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56133-2023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45240</v>
      </c>
      <c r="E36" s="1" t="n">
        <v>46217</v>
      </c>
      <c r="F36" t="inlineStr">
        <is>
          <t>VÄSTRA GÖTALANDS LÄN</t>
        </is>
      </c>
      <c r="G36" t="inlineStr">
        <is>
          <t>MÖLNDAL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10661-2026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46217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10672-2026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46217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46217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46217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46217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46217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46217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46217</v>
      </c>
      <c r="F44" t="inlineStr">
        <is>
          <t>VÄSTRA GÖTALANDS LÄN</t>
        </is>
      </c>
      <c r="G44" t="inlineStr">
        <is>
          <t>MÖLNDAL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46217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46217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62804-2023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45271</v>
      </c>
      <c r="E47" s="1" t="n">
        <v>46217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22953-2023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45072</v>
      </c>
      <c r="E48" s="1" t="n">
        <v>46217</v>
      </c>
      <c r="F48" t="inlineStr">
        <is>
          <t>VÄSTRA GÖTALANDS LÄN</t>
        </is>
      </c>
      <c r="G48" t="inlineStr">
        <is>
          <t>MÖLNDAL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46217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46217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2026-07-14T09:02:17Z</dcterms:created>
  <dcterms:modified xmlns:dcterms="http://purl.org/dc/terms/" xmlns:xsi="http://www.w3.org/2001/XMLSchema-instance" xsi:type="dcterms:W3CDTF">2026-07-14T09:02:17Z</dcterms:modified>
</cp:coreProperties>
</file>