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46234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46234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46234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45212</v>
      </c>
      <c r="E5" s="1" t="n">
        <v>46234</v>
      </c>
      <c r="F5" t="inlineStr">
        <is>
          <t>VÄSTRA GÖTALANDS LÄN</t>
        </is>
      </c>
      <c r="G5" t="inlineStr">
        <is>
          <t>MÖLNDAL</t>
        </is>
      </c>
      <c r="I5" t="n">
        <v>3.8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Klippfrullania
Trubbfjädermossa</t>
        </is>
      </c>
      <c r="W5">
        <f>HYPERLINK("https://klasma.github.io/Logging_1481/artfynd/A 49789-2023 artfynd.xlsx", "A 49789-2023")</f>
        <v/>
      </c>
      <c r="X5">
        <f>HYPERLINK("https://klasma.github.io/Logging_1481/kartor/A 49789-2023 karta.png", "A 49789-2023")</f>
        <v/>
      </c>
      <c r="Y5">
        <f>HYPERLINK("https://klasma.github.io/Logging_1481/kartor_geotiff/A 49789-2023 georefererad karta.tif", "A 49789-2023")</f>
        <v/>
      </c>
      <c r="AA5">
        <f>HYPERLINK("https://klasma.github.io/Logging_1481/klagomål/A 49789-2023 FSC-klagomål.docx", "A 49789-2023")</f>
        <v/>
      </c>
      <c r="AB5">
        <f>HYPERLINK("https://klasma.github.io/Logging_1481/klagomålsmail/A 49789-2023 FSC-klagomål mail.docx", "A 49789-2023")</f>
        <v/>
      </c>
      <c r="AC5">
        <f>HYPERLINK("https://klasma.github.io/Logging_1481/tillsyn/A 49789-2023 tillsynsbegäran.docx", "A 49789-2023")</f>
        <v/>
      </c>
      <c r="AD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46234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393-2025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45663</v>
      </c>
      <c r="E7" s="1" t="n">
        <v>46234</v>
      </c>
      <c r="F7" t="inlineStr">
        <is>
          <t>VÄSTRA GÖTALANDS LÄN</t>
        </is>
      </c>
      <c r="G7" t="inlineStr">
        <is>
          <t>MÖLNDAL</t>
        </is>
      </c>
      <c r="I7" t="n">
        <v>5.1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Duvhök
Spillkråka</t>
        </is>
      </c>
      <c r="W7">
        <f>HYPERLINK("https://klasma.github.io/Logging_1481/artfynd/A 393-2025 artfynd.xlsx", "A 393-2025")</f>
        <v/>
      </c>
      <c r="X7">
        <f>HYPERLINK("https://klasma.github.io/Logging_1481/kartor/A 393-2025 karta.png", "A 393-2025")</f>
        <v/>
      </c>
      <c r="Y7">
        <f>HYPERLINK("https://klasma.github.io/Logging_1481/kartor_geotiff/A 393-2025 georefererad karta.tif", "A 393-2025")</f>
        <v/>
      </c>
      <c r="AA7">
        <f>HYPERLINK("https://klasma.github.io/Logging_1481/klagomål/A 393-2025 FSC-klagomål.docx", "A 393-2025")</f>
        <v/>
      </c>
      <c r="AB7">
        <f>HYPERLINK("https://klasma.github.io/Logging_1481/klagomålsmail/A 393-2025 FSC-klagomål mail.docx", "A 393-2025")</f>
        <v/>
      </c>
      <c r="AC7">
        <f>HYPERLINK("https://klasma.github.io/Logging_1481/tillsyn/A 393-2025 tillsynsbegäran.docx", "A 393-2025")</f>
        <v/>
      </c>
      <c r="AD7">
        <f>HYPERLINK("https://klasma.github.io/Logging_1481/tillsynsmail/A 393-2025 tillsynsbegäran mail.docx", "A 393-2025")</f>
        <v/>
      </c>
      <c r="AE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46234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46234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46234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45918</v>
      </c>
      <c r="E11" s="1" t="n">
        <v>46234</v>
      </c>
      <c r="F11" t="inlineStr">
        <is>
          <t>VÄSTRA GÖTALANDS LÄN</t>
        </is>
      </c>
      <c r="G11" t="inlineStr">
        <is>
          <t>MÖLNDAL</t>
        </is>
      </c>
      <c r="I11" t="n">
        <v>3.8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HYPERLINK("https://klasma.github.io/Logging_1481/artfynd/A 44926-2025 artfynd.xlsx", "A 44926-2025")</f>
        <v/>
      </c>
      <c r="X11">
        <f>HYPERLINK("https://klasma.github.io/Logging_1481/kartor/A 44926-2025 karta.png", "A 44926-2025")</f>
        <v/>
      </c>
      <c r="Y11">
        <f>HYPERLINK("https://klasma.github.io/Logging_1481/kartor_geotiff/A 44926-2025 georefererad karta.tif", "A 44926-2025")</f>
        <v/>
      </c>
      <c r="AA11">
        <f>HYPERLINK("https://klasma.github.io/Logging_1481/klagomål/A 44926-2025 FSC-klagomål.docx", "A 44926-2025")</f>
        <v/>
      </c>
      <c r="AB11">
        <f>HYPERLINK("https://klasma.github.io/Logging_1481/klagomålsmail/A 44926-2025 FSC-klagomål mail.docx", "A 44926-2025")</f>
        <v/>
      </c>
      <c r="AC11">
        <f>HYPERLINK("https://klasma.github.io/Logging_1481/tillsyn/A 44926-2025 tillsynsbegäran.docx", "A 44926-2025")</f>
        <v/>
      </c>
      <c r="AD11">
        <f>HYPERLINK("https://klasma.github.io/Logging_1481/tillsynsmail/A 44926-2025 tillsynsbegäran mail.docx", "A 44926-2025")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46234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46234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46234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48265-2025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45933</v>
      </c>
      <c r="E15" s="1" t="n">
        <v>46234</v>
      </c>
      <c r="F15" t="inlineStr">
        <is>
          <t>VÄSTRA GÖTALANDS LÄN</t>
        </is>
      </c>
      <c r="G15" t="inlineStr">
        <is>
          <t>MÖLNDAL</t>
        </is>
      </c>
      <c r="I15" t="n">
        <v>2.1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48265-2025 artfynd.xlsx", "A 48265-2025")</f>
        <v/>
      </c>
      <c r="X15">
        <f>HYPERLINK("https://klasma.github.io/Logging_1481/kartor/A 48265-2025 karta.png", "A 48265-2025")</f>
        <v/>
      </c>
      <c r="Y15">
        <f>HYPERLINK("https://klasma.github.io/Logging_1481/kartor_geotiff/A 48265-2025 georefererad karta.tif", "A 48265-2025")</f>
        <v/>
      </c>
      <c r="AA15">
        <f>HYPERLINK("https://klasma.github.io/Logging_1481/klagomål/A 48265-2025 FSC-klagomål.docx", "A 48265-2025")</f>
        <v/>
      </c>
      <c r="AB15">
        <f>HYPERLINK("https://klasma.github.io/Logging_1481/klagomålsmail/A 48265-2025 FSC-klagomål mail.docx", "A 48265-2025")</f>
        <v/>
      </c>
      <c r="AC15">
        <f>HYPERLINK("https://klasma.github.io/Logging_1481/tillsyn/A 48265-2025 tillsynsbegäran.docx", "A 48265-2025")</f>
        <v/>
      </c>
      <c r="AD15">
        <f>HYPERLINK("https://klasma.github.io/Logging_1481/tillsynsmail/A 48265-2025 tillsynsbegäran mail.docx", "A 48265-2025")</f>
        <v/>
      </c>
      <c r="AE15">
        <f>HYPERLINK("https://klasma.github.io/Logging_1481/fåglar/A 48265-2025 prioriterade fågelarter.docx", "A 48265-2025")</f>
        <v/>
      </c>
    </row>
    <row r="16" ht="15" customHeight="1">
      <c r="A16" t="inlineStr">
        <is>
          <t>A 46379-2025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45925</v>
      </c>
      <c r="E16" s="1" t="n">
        <v>46234</v>
      </c>
      <c r="F16" t="inlineStr">
        <is>
          <t>VÄSTRA GÖTALANDS LÄN</t>
        </is>
      </c>
      <c r="G16" t="inlineStr">
        <is>
          <t>MÖLNDAL</t>
        </is>
      </c>
      <c r="I16" t="n">
        <v>4.8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Fiskgjuse</t>
        </is>
      </c>
      <c r="W16">
        <f>HYPERLINK("https://klasma.github.io/Logging_1481/artfynd/A 46379-2025 artfynd.xlsx", "A 46379-2025")</f>
        <v/>
      </c>
      <c r="X16">
        <f>HYPERLINK("https://klasma.github.io/Logging_1481/kartor/A 46379-2025 karta.png", "A 46379-2025")</f>
        <v/>
      </c>
      <c r="Y16">
        <f>HYPERLINK("https://klasma.github.io/Logging_1481/kartor_geotiff/A 46379-2025 georefererad karta.tif", "A 46379-2025")</f>
        <v/>
      </c>
      <c r="AA16">
        <f>HYPERLINK("https://klasma.github.io/Logging_1481/klagomål/A 46379-2025 FSC-klagomål.docx", "A 46379-2025")</f>
        <v/>
      </c>
      <c r="AB16">
        <f>HYPERLINK("https://klasma.github.io/Logging_1481/klagomålsmail/A 46379-2025 FSC-klagomål mail.docx", "A 46379-2025")</f>
        <v/>
      </c>
      <c r="AC16">
        <f>HYPERLINK("https://klasma.github.io/Logging_1481/tillsyn/A 46379-2025 tillsynsbegäran.docx", "A 46379-2025")</f>
        <v/>
      </c>
      <c r="AD16">
        <f>HYPERLINK("https://klasma.github.io/Logging_1481/tillsynsmail/A 46379-2025 tillsynsbegäran mail.docx", "A 46379-2025")</f>
        <v/>
      </c>
      <c r="AE16">
        <f>HYPERLINK("https://klasma.github.io/Logging_1481/fåglar/A 46379-2025 prioriterade fågelarter.docx", "A 46379-2025")</f>
        <v/>
      </c>
    </row>
    <row r="17" ht="15" customHeight="1">
      <c r="A17" t="inlineStr">
        <is>
          <t>A 23796-2026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46234</v>
      </c>
      <c r="F17" t="inlineStr">
        <is>
          <t>VÄSTRA GÖTALANDS LÄN</t>
        </is>
      </c>
      <c r="G17" t="inlineStr">
        <is>
          <t>MÖLNDAL</t>
        </is>
      </c>
      <c r="I17" t="n">
        <v>3.6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Tjäder</t>
        </is>
      </c>
      <c r="W17">
        <f>HYPERLINK("https://klasma.github.io/Logging_1481/artfynd/A 23796-2026 artfynd.xlsx", "A 23796-2026")</f>
        <v/>
      </c>
      <c r="X17">
        <f>HYPERLINK("https://klasma.github.io/Logging_1481/kartor/A 23796-2026 karta.png", "A 23796-2026")</f>
        <v/>
      </c>
      <c r="Y17">
        <f>HYPERLINK("https://klasma.github.io/Logging_1481/kartor_geotiff/A 23796-2026 georefererad karta.tif", "A 23796-2026")</f>
        <v/>
      </c>
      <c r="AA17">
        <f>HYPERLINK("https://klasma.github.io/Logging_1481/klagomål/A 23796-2026 FSC-klagomål.docx", "A 23796-2026")</f>
        <v/>
      </c>
      <c r="AB17">
        <f>HYPERLINK("https://klasma.github.io/Logging_1481/klagomålsmail/A 23796-2026 FSC-klagomål mail.docx", "A 23796-2026")</f>
        <v/>
      </c>
      <c r="AC17">
        <f>HYPERLINK("https://klasma.github.io/Logging_1481/tillsyn/A 23796-2026 tillsynsbegäran.docx", "A 23796-2026")</f>
        <v/>
      </c>
      <c r="AD17">
        <f>HYPERLINK("https://klasma.github.io/Logging_1481/tillsynsmail/A 23796-2026 tillsynsbegäran mail.docx", "A 23796-2026")</f>
        <v/>
      </c>
      <c r="AE17">
        <f>HYPERLINK("https://klasma.github.io/Logging_1481/fåglar/A 23796-2026 prioriterade fågelarter.docx", "A 23796-2026")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46234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46234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46234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46234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46234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46234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46234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46234</v>
      </c>
      <c r="F25" t="inlineStr">
        <is>
          <t>VÄSTRA GÖTALANDS LÄN</t>
        </is>
      </c>
      <c r="G25" t="inlineStr">
        <is>
          <t>MÖLNDAL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46234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46234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46234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45127</v>
      </c>
      <c r="E29" s="1" t="n">
        <v>46234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46234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46234</v>
      </c>
      <c r="F31" t="inlineStr">
        <is>
          <t>VÄSTRA GÖTALANDS LÄN</t>
        </is>
      </c>
      <c r="G31" t="inlineStr">
        <is>
          <t>MÖLNDAL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22953-2023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45072</v>
      </c>
      <c r="E32" s="1" t="n">
        <v>46234</v>
      </c>
      <c r="F32" t="inlineStr">
        <is>
          <t>VÄSTRA GÖTALANDS LÄN</t>
        </is>
      </c>
      <c r="G32" t="inlineStr">
        <is>
          <t>MÖLNDAL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62804-2023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45271</v>
      </c>
      <c r="E33" s="1" t="n">
        <v>46234</v>
      </c>
      <c r="F33" t="inlineStr">
        <is>
          <t>VÄSTRA GÖTALANDS LÄN</t>
        </is>
      </c>
      <c r="G33" t="inlineStr">
        <is>
          <t>MÖLNDAL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10672-2026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46234</v>
      </c>
      <c r="F34" t="inlineStr">
        <is>
          <t>VÄSTRA GÖTALANDS LÄN</t>
        </is>
      </c>
      <c r="G34" t="inlineStr">
        <is>
          <t>MÖLNDAL</t>
        </is>
      </c>
      <c r="H34" t="inlineStr">
        <is>
          <t>Kommuner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10661-2026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46078</v>
      </c>
      <c r="E35" s="1" t="n">
        <v>46234</v>
      </c>
      <c r="F35" t="inlineStr">
        <is>
          <t>VÄSTRA GÖTALANDS LÄN</t>
        </is>
      </c>
      <c r="G35" t="inlineStr">
        <is>
          <t>MÖLNDAL</t>
        </is>
      </c>
      <c r="H35" t="inlineStr">
        <is>
          <t>Kommuner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10654-2026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46078</v>
      </c>
      <c r="E36" s="1" t="n">
        <v>46234</v>
      </c>
      <c r="F36" t="inlineStr">
        <is>
          <t>VÄSTRA GÖTALANDS LÄN</t>
        </is>
      </c>
      <c r="G36" t="inlineStr">
        <is>
          <t>MÖLNDAL</t>
        </is>
      </c>
      <c r="H36" t="inlineStr">
        <is>
          <t>Kommuner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46234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46234</v>
      </c>
      <c r="F38" t="inlineStr">
        <is>
          <t>VÄSTRA GÖTALANDS LÄN</t>
        </is>
      </c>
      <c r="G38" t="inlineStr">
        <is>
          <t>MÖLNDAL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45337</v>
      </c>
      <c r="E39" s="1" t="n">
        <v>46234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46234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46234</v>
      </c>
      <c r="F41" t="inlineStr">
        <is>
          <t>VÄSTRA GÖTALANDS LÄN</t>
        </is>
      </c>
      <c r="G41" t="inlineStr">
        <is>
          <t>MÖLNDAL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60809-2024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46234</v>
      </c>
      <c r="F42" t="inlineStr">
        <is>
          <t>VÄSTRA GÖTALANDS LÄN</t>
        </is>
      </c>
      <c r="G42" t="inlineStr">
        <is>
          <t>MÖLNDAL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46234</v>
      </c>
      <c r="F43" t="inlineStr">
        <is>
          <t>VÄSTRA GÖTALANDS LÄN</t>
        </is>
      </c>
      <c r="G43" t="inlineStr">
        <is>
          <t>MÖLNDAL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24771-2023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45084</v>
      </c>
      <c r="E44" s="1" t="n">
        <v>46234</v>
      </c>
      <c r="F44" t="inlineStr">
        <is>
          <t>VÄSTRA GÖTALANDS LÄN</t>
        </is>
      </c>
      <c r="G44" t="inlineStr">
        <is>
          <t>MÖLNDAL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21477-2025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45782</v>
      </c>
      <c r="E45" s="1" t="n">
        <v>46234</v>
      </c>
      <c r="F45" t="inlineStr">
        <is>
          <t>VÄSTRA GÖTALANDS LÄN</t>
        </is>
      </c>
      <c r="G45" t="inlineStr">
        <is>
          <t>MÖLNDAL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56133-2023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45240</v>
      </c>
      <c r="E46" s="1" t="n">
        <v>46234</v>
      </c>
      <c r="F46" t="inlineStr">
        <is>
          <t>VÄSTRA GÖTALANDS LÄN</t>
        </is>
      </c>
      <c r="G46" t="inlineStr">
        <is>
          <t>MÖLNDAL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28291-2026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46234</v>
      </c>
      <c r="F47" t="inlineStr">
        <is>
          <t>VÄSTRA GÖTALANDS LÄN</t>
        </is>
      </c>
      <c r="G47" t="inlineStr">
        <is>
          <t>MÖLNDAL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46234</v>
      </c>
      <c r="F48" t="inlineStr">
        <is>
          <t>VÄSTRA GÖTALANDS LÄN</t>
        </is>
      </c>
      <c r="G48" t="inlineStr">
        <is>
          <t>MÖLNDAL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19295-2025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45769</v>
      </c>
      <c r="E49" s="1" t="n">
        <v>46234</v>
      </c>
      <c r="F49" t="inlineStr">
        <is>
          <t>VÄSTRA GÖTALANDS LÄN</t>
        </is>
      </c>
      <c r="G49" t="inlineStr">
        <is>
          <t>MÖLNDAL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31828-2026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46230</v>
      </c>
      <c r="E50" s="1" t="n">
        <v>46234</v>
      </c>
      <c r="F50" t="inlineStr">
        <is>
          <t>VÄSTRA GÖTALANDS LÄN</t>
        </is>
      </c>
      <c r="G50" t="inlineStr">
        <is>
          <t>MÖLNDAL</t>
        </is>
      </c>
      <c r="I50" t="n">
        <v>7.6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921-2025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45737</v>
      </c>
      <c r="E51" s="1" t="n">
        <v>46234</v>
      </c>
      <c r="F51" t="inlineStr">
        <is>
          <t>VÄSTRA GÖTALANDS LÄN</t>
        </is>
      </c>
      <c r="G51" t="inlineStr">
        <is>
          <t>MÖLNDAL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14-2026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46028</v>
      </c>
      <c r="E52" s="1" t="n">
        <v>46234</v>
      </c>
      <c r="F52" t="inlineStr">
        <is>
          <t>VÄSTRA GÖTALANDS LÄN</t>
        </is>
      </c>
      <c r="G52" t="inlineStr">
        <is>
          <t>MÖLNDAL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2026-07-31T01:51:12Z</dcterms:created>
  <dcterms:modified xmlns:dcterms="http://purl.org/dc/terms/" xmlns:xsi="http://www.w3.org/2001/XMLSchema-instance" xsi:type="dcterms:W3CDTF">2026-07-31T01:51:12Z</dcterms:modified>
</cp:coreProperties>
</file>