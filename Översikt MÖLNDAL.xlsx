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46224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46224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46224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62768-2025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46008</v>
      </c>
      <c r="E5" s="1" t="n">
        <v>46224</v>
      </c>
      <c r="F5" t="inlineStr">
        <is>
          <t>VÄSTRA GÖTALANDS LÄN</t>
        </is>
      </c>
      <c r="G5" t="inlineStr">
        <is>
          <t>MÖLNDAL</t>
        </is>
      </c>
      <c r="I5" t="n">
        <v>4.2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4</v>
      </c>
      <c r="U5" t="n">
        <v>4</v>
      </c>
      <c r="V5" s="2" t="inlineStr">
        <is>
          <t>Spillkråka
Tjäder</t>
        </is>
      </c>
      <c r="W5">
        <f>HYPERLINK("https://klasma.github.io/Logging_1481/artfynd/A 62768-2025 artfynd.xlsx", "A 62768-2025")</f>
        <v/>
      </c>
      <c r="X5">
        <f>HYPERLINK("https://klasma.github.io/Logging_1481/kartor/A 62768-2025 karta.png", "A 62768-2025")</f>
        <v/>
      </c>
      <c r="Y5">
        <f>HYPERLINK("https://klasma.github.io/Logging_1481/kartor_geotiff/A 62768-2025 georefererad karta.tif", "A 62768-2025")</f>
        <v/>
      </c>
      <c r="AA5">
        <f>HYPERLINK("https://klasma.github.io/Logging_1481/klagomål/A 62768-2025 FSC-klagomål.docx", "A 62768-2025")</f>
        <v/>
      </c>
      <c r="AB5">
        <f>HYPERLINK("https://klasma.github.io/Logging_1481/klagomålsmail/A 62768-2025 FSC-klagomål mail.docx", "A 62768-2025")</f>
        <v/>
      </c>
      <c r="AC5">
        <f>HYPERLINK("https://klasma.github.io/Logging_1481/tillsyn/A 62768-2025 tillsynsbegäran.docx", "A 62768-2025")</f>
        <v/>
      </c>
      <c r="AD5">
        <f>HYPERLINK("https://klasma.github.io/Logging_1481/tillsynsmail/A 62768-2025 tillsynsbegäran mail.docx", "A 62768-2025")</f>
        <v/>
      </c>
      <c r="AE5">
        <f>HYPERLINK("https://klasma.github.io/Logging_1481/fåglar/A 62768-2025 prioriterade fågelarter.docx", "A 62768-2025")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46224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393-2025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45663</v>
      </c>
      <c r="E7" s="1" t="n">
        <v>46224</v>
      </c>
      <c r="F7" t="inlineStr">
        <is>
          <t>VÄSTRA GÖTALANDS LÄN</t>
        </is>
      </c>
      <c r="G7" t="inlineStr">
        <is>
          <t>MÖLNDAL</t>
        </is>
      </c>
      <c r="I7" t="n">
        <v>5.1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1</v>
      </c>
      <c r="V7" s="2" t="inlineStr">
        <is>
          <t>Duvhök
Spillkråka</t>
        </is>
      </c>
      <c r="W7">
        <f>HYPERLINK("https://klasma.github.io/Logging_1481/artfynd/A 393-2025 artfynd.xlsx", "A 393-2025")</f>
        <v/>
      </c>
      <c r="X7">
        <f>HYPERLINK("https://klasma.github.io/Logging_1481/kartor/A 393-2025 karta.png", "A 393-2025")</f>
        <v/>
      </c>
      <c r="Y7">
        <f>HYPERLINK("https://klasma.github.io/Logging_1481/kartor_geotiff/A 393-2025 georefererad karta.tif", "A 393-2025")</f>
        <v/>
      </c>
      <c r="AA7">
        <f>HYPERLINK("https://klasma.github.io/Logging_1481/klagomål/A 393-2025 FSC-klagomål.docx", "A 393-2025")</f>
        <v/>
      </c>
      <c r="AB7">
        <f>HYPERLINK("https://klasma.github.io/Logging_1481/klagomålsmail/A 393-2025 FSC-klagomål mail.docx", "A 393-2025")</f>
        <v/>
      </c>
      <c r="AC7">
        <f>HYPERLINK("https://klasma.github.io/Logging_1481/tillsyn/A 393-2025 tillsynsbegäran.docx", "A 393-2025")</f>
        <v/>
      </c>
      <c r="AD7">
        <f>HYPERLINK("https://klasma.github.io/Logging_1481/tillsynsmail/A 393-2025 tillsynsbegäran mail.docx", "A 393-2025")</f>
        <v/>
      </c>
      <c r="AE7">
        <f>HYPERLINK("https://klasma.github.io/Logging_1481/fåglar/A 393-2025 prioriterade fågelarter.docx", "A 393-2025")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46224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46224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46224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46224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46224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46224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6042-2024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45336</v>
      </c>
      <c r="E14" s="1" t="n">
        <v>46224</v>
      </c>
      <c r="F14" t="inlineStr">
        <is>
          <t>VÄSTRA GÖTALANDS LÄN</t>
        </is>
      </c>
      <c r="G14" t="inlineStr">
        <is>
          <t>MÖLNDAL</t>
        </is>
      </c>
      <c r="I14" t="n">
        <v>1.7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Guldlockmossa</t>
        </is>
      </c>
      <c r="W14">
        <f>HYPERLINK("https://klasma.github.io/Logging_1481/artfynd/A 6042-2024 artfynd.xlsx", "A 6042-2024")</f>
        <v/>
      </c>
      <c r="X14">
        <f>HYPERLINK("https://klasma.github.io/Logging_1481/kartor/A 6042-2024 karta.png", "A 6042-2024")</f>
        <v/>
      </c>
      <c r="Y14">
        <f>HYPERLINK("https://klasma.github.io/Logging_1481/kartor_geotiff/A 6042-2024 georefererad karta.tif", "A 6042-2024")</f>
        <v/>
      </c>
      <c r="AA14">
        <f>HYPERLINK("https://klasma.github.io/Logging_1481/klagomål/A 6042-2024 FSC-klagomål.docx", "A 6042-2024")</f>
        <v/>
      </c>
      <c r="AB14">
        <f>HYPERLINK("https://klasma.github.io/Logging_1481/klagomålsmail/A 6042-2024 FSC-klagomål mail.docx", "A 6042-2024")</f>
        <v/>
      </c>
      <c r="AC14">
        <f>HYPERLINK("https://klasma.github.io/Logging_1481/tillsyn/A 6042-2024 tillsynsbegäran.docx", "A 6042-2024")</f>
        <v/>
      </c>
      <c r="AD14">
        <f>HYPERLINK("https://klasma.github.io/Logging_1481/tillsynsmail/A 6042-2024 tillsynsbegäran mail.docx", "A 6042-2024")</f>
        <v/>
      </c>
    </row>
    <row r="15" ht="15" customHeight="1">
      <c r="A15" t="inlineStr">
        <is>
          <t>A 46379-2025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45925</v>
      </c>
      <c r="E15" s="1" t="n">
        <v>46224</v>
      </c>
      <c r="F15" t="inlineStr">
        <is>
          <t>VÄSTRA GÖTALANDS LÄN</t>
        </is>
      </c>
      <c r="G15" t="inlineStr">
        <is>
          <t>MÖLNDAL</t>
        </is>
      </c>
      <c r="I15" t="n">
        <v>4.8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Fiskgjuse</t>
        </is>
      </c>
      <c r="W15">
        <f>HYPERLINK("https://klasma.github.io/Logging_1481/artfynd/A 46379-2025 artfynd.xlsx", "A 46379-2025")</f>
        <v/>
      </c>
      <c r="X15">
        <f>HYPERLINK("https://klasma.github.io/Logging_1481/kartor/A 46379-2025 karta.png", "A 46379-2025")</f>
        <v/>
      </c>
      <c r="Y15">
        <f>HYPERLINK("https://klasma.github.io/Logging_1481/kartor_geotiff/A 46379-2025 georefererad karta.tif", "A 46379-2025")</f>
        <v/>
      </c>
      <c r="AA15">
        <f>HYPERLINK("https://klasma.github.io/Logging_1481/klagomål/A 46379-2025 FSC-klagomål.docx", "A 46379-2025")</f>
        <v/>
      </c>
      <c r="AB15">
        <f>HYPERLINK("https://klasma.github.io/Logging_1481/klagomålsmail/A 46379-2025 FSC-klagomål mail.docx", "A 46379-2025")</f>
        <v/>
      </c>
      <c r="AC15">
        <f>HYPERLINK("https://klasma.github.io/Logging_1481/tillsyn/A 46379-2025 tillsynsbegäran.docx", "A 46379-2025")</f>
        <v/>
      </c>
      <c r="AD15">
        <f>HYPERLINK("https://klasma.github.io/Logging_1481/tillsynsmail/A 46379-2025 tillsynsbegäran mail.docx", "A 46379-2025")</f>
        <v/>
      </c>
      <c r="AE15">
        <f>HYPERLINK("https://klasma.github.io/Logging_1481/fåglar/A 46379-2025 prioriterade fågelarter.docx", "A 46379-2025")</f>
        <v/>
      </c>
    </row>
    <row r="16" ht="15" customHeight="1">
      <c r="A16" t="inlineStr">
        <is>
          <t>A 48265-2025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45933</v>
      </c>
      <c r="E16" s="1" t="n">
        <v>46224</v>
      </c>
      <c r="F16" t="inlineStr">
        <is>
          <t>VÄSTRA GÖTALANDS LÄN</t>
        </is>
      </c>
      <c r="G16" t="inlineStr">
        <is>
          <t>MÖLNDAL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Tjäder</t>
        </is>
      </c>
      <c r="W16">
        <f>HYPERLINK("https://klasma.github.io/Logging_1481/artfynd/A 48265-2025 artfynd.xlsx", "A 48265-2025")</f>
        <v/>
      </c>
      <c r="X16">
        <f>HYPERLINK("https://klasma.github.io/Logging_1481/kartor/A 48265-2025 karta.png", "A 48265-2025")</f>
        <v/>
      </c>
      <c r="Y16">
        <f>HYPERLINK("https://klasma.github.io/Logging_1481/kartor_geotiff/A 48265-2025 georefererad karta.tif", "A 48265-2025")</f>
        <v/>
      </c>
      <c r="AA16">
        <f>HYPERLINK("https://klasma.github.io/Logging_1481/klagomål/A 48265-2025 FSC-klagomål.docx", "A 48265-2025")</f>
        <v/>
      </c>
      <c r="AB16">
        <f>HYPERLINK("https://klasma.github.io/Logging_1481/klagomålsmail/A 48265-2025 FSC-klagomål mail.docx", "A 48265-2025")</f>
        <v/>
      </c>
      <c r="AC16">
        <f>HYPERLINK("https://klasma.github.io/Logging_1481/tillsyn/A 48265-2025 tillsynsbegäran.docx", "A 48265-2025")</f>
        <v/>
      </c>
      <c r="AD16">
        <f>HYPERLINK("https://klasma.github.io/Logging_1481/tillsynsmail/A 48265-2025 tillsynsbegäran mail.docx", "A 48265-2025")</f>
        <v/>
      </c>
      <c r="AE16">
        <f>HYPERLINK("https://klasma.github.io/Logging_1481/fåglar/A 48265-2025 prioriterade fågelarter.docx", "A 48265-2025")</f>
        <v/>
      </c>
    </row>
    <row r="17" ht="15" customHeight="1">
      <c r="A17" t="inlineStr">
        <is>
          <t>A 65698-2021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44516</v>
      </c>
      <c r="E17" s="1" t="n">
        <v>46224</v>
      </c>
      <c r="F17" t="inlineStr">
        <is>
          <t>VÄSTRA GÖTALANDS LÄN</t>
        </is>
      </c>
      <c r="G17" t="inlineStr">
        <is>
          <t>MÖLNDAL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42380-2022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46224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44586</v>
      </c>
      <c r="E19" s="1" t="n">
        <v>46224</v>
      </c>
      <c r="F19" t="inlineStr">
        <is>
          <t>VÄSTRA GÖTALANDS LÄN</t>
        </is>
      </c>
      <c r="G19" t="inlineStr">
        <is>
          <t>MÖLNDAL</t>
        </is>
      </c>
      <c r="I19" t="n">
        <v>5.6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23877-2022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44722</v>
      </c>
      <c r="E20" s="1" t="n">
        <v>46224</v>
      </c>
      <c r="F20" t="inlineStr">
        <is>
          <t>VÄSTRA GÖTALANDS LÄN</t>
        </is>
      </c>
      <c r="G20" t="inlineStr">
        <is>
          <t>MÖLNDAL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51537-2021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44462</v>
      </c>
      <c r="E21" s="1" t="n">
        <v>46224</v>
      </c>
      <c r="F21" t="inlineStr">
        <is>
          <t>VÄSTRA GÖTALANDS LÄN</t>
        </is>
      </c>
      <c r="G21" t="inlineStr">
        <is>
          <t>MÖLNDAL</t>
        </is>
      </c>
      <c r="I21" t="n">
        <v>7.2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46224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44564</v>
      </c>
      <c r="E23" s="1" t="n">
        <v>46224</v>
      </c>
      <c r="F23" t="inlineStr">
        <is>
          <t>VÄSTRA GÖTALANDS LÄN</t>
        </is>
      </c>
      <c r="G23" t="inlineStr">
        <is>
          <t>MÖLNDAL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12977-2025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45734</v>
      </c>
      <c r="E24" s="1" t="n">
        <v>46224</v>
      </c>
      <c r="F24" t="inlineStr">
        <is>
          <t>VÄSTRA GÖTALANDS LÄN</t>
        </is>
      </c>
      <c r="G24" t="inlineStr">
        <is>
          <t>MÖLNDAL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61178-2024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45645</v>
      </c>
      <c r="E25" s="1" t="n">
        <v>46224</v>
      </c>
      <c r="F25" t="inlineStr">
        <is>
          <t>VÄSTRA GÖTALANDS LÄN</t>
        </is>
      </c>
      <c r="G25" t="inlineStr">
        <is>
          <t>MÖLNDAL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21536-2024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46224</v>
      </c>
      <c r="F26" t="inlineStr">
        <is>
          <t>VÄSTRA GÖTALANDS LÄN</t>
        </is>
      </c>
      <c r="G26" t="inlineStr">
        <is>
          <t>MÖLNDAL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43067-2024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46224</v>
      </c>
      <c r="F27" t="inlineStr">
        <is>
          <t>VÄSTRA GÖTALANDS LÄN</t>
        </is>
      </c>
      <c r="G27" t="inlineStr">
        <is>
          <t>MÖLNDAL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46224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46224</v>
      </c>
      <c r="F29" t="inlineStr">
        <is>
          <t>VÄSTRA GÖTALANDS LÄN</t>
        </is>
      </c>
      <c r="G29" t="inlineStr">
        <is>
          <t>MÖLNDAL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37570-2025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45880</v>
      </c>
      <c r="E30" s="1" t="n">
        <v>46224</v>
      </c>
      <c r="F30" t="inlineStr">
        <is>
          <t>VÄSTRA GÖTALANDS LÄN</t>
        </is>
      </c>
      <c r="G30" t="inlineStr">
        <is>
          <t>MÖLNDAL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10672-2026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46224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10661-2026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46224</v>
      </c>
      <c r="F32" t="inlineStr">
        <is>
          <t>VÄSTRA GÖTALANDS LÄN</t>
        </is>
      </c>
      <c r="G32" t="inlineStr">
        <is>
          <t>MÖLNDAL</t>
        </is>
      </c>
      <c r="H32" t="inlineStr">
        <is>
          <t>Kommuner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10654-2026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46078</v>
      </c>
      <c r="E33" s="1" t="n">
        <v>46224</v>
      </c>
      <c r="F33" t="inlineStr">
        <is>
          <t>VÄSTRA GÖTALANDS LÄN</t>
        </is>
      </c>
      <c r="G33" t="inlineStr">
        <is>
          <t>MÖLNDAL</t>
        </is>
      </c>
      <c r="H33" t="inlineStr">
        <is>
          <t>Kommuner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22953-2023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45072</v>
      </c>
      <c r="E34" s="1" t="n">
        <v>46224</v>
      </c>
      <c r="F34" t="inlineStr">
        <is>
          <t>VÄSTRA GÖTALANDS LÄN</t>
        </is>
      </c>
      <c r="G34" t="inlineStr">
        <is>
          <t>MÖLNDAL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62804-2023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45271</v>
      </c>
      <c r="E35" s="1" t="n">
        <v>46224</v>
      </c>
      <c r="F35" t="inlineStr">
        <is>
          <t>VÄSTRA GÖTALANDS LÄN</t>
        </is>
      </c>
      <c r="G35" t="inlineStr">
        <is>
          <t>MÖLNDAL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45321</v>
      </c>
      <c r="E36" s="1" t="n">
        <v>46224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46224</v>
      </c>
      <c r="F37" t="inlineStr">
        <is>
          <t>VÄSTRA GÖTALANDS LÄN</t>
        </is>
      </c>
      <c r="G37" t="inlineStr">
        <is>
          <t>MÖLNDAL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6258-2024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45337</v>
      </c>
      <c r="E38" s="1" t="n">
        <v>46224</v>
      </c>
      <c r="F38" t="inlineStr">
        <is>
          <t>VÄSTRA GÖTALANDS LÄN</t>
        </is>
      </c>
      <c r="G38" t="inlineStr">
        <is>
          <t>MÖLNDAL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46224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46224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46224</v>
      </c>
      <c r="F41" t="inlineStr">
        <is>
          <t>VÄSTRA GÖTALANDS LÄN</t>
        </is>
      </c>
      <c r="G41" t="inlineStr">
        <is>
          <t>MÖLNDAL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11256-2024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45371</v>
      </c>
      <c r="E42" s="1" t="n">
        <v>46224</v>
      </c>
      <c r="F42" t="inlineStr">
        <is>
          <t>VÄSTRA GÖTALANDS LÄN</t>
        </is>
      </c>
      <c r="G42" t="inlineStr">
        <is>
          <t>MÖLNDAL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45084</v>
      </c>
      <c r="E43" s="1" t="n">
        <v>46224</v>
      </c>
      <c r="F43" t="inlineStr">
        <is>
          <t>VÄSTRA GÖTALANDS LÄN</t>
        </is>
      </c>
      <c r="G43" t="inlineStr">
        <is>
          <t>MÖLNDAL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21477-2025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45782</v>
      </c>
      <c r="E44" s="1" t="n">
        <v>46224</v>
      </c>
      <c r="F44" t="inlineStr">
        <is>
          <t>VÄSTRA GÖTALANDS LÄN</t>
        </is>
      </c>
      <c r="G44" t="inlineStr">
        <is>
          <t>MÖLNDAL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56133-2023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45240</v>
      </c>
      <c r="E45" s="1" t="n">
        <v>46224</v>
      </c>
      <c r="F45" t="inlineStr">
        <is>
          <t>VÄSTRA GÖTALANDS LÄN</t>
        </is>
      </c>
      <c r="G45" t="inlineStr">
        <is>
          <t>MÖLNDAL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28291-2026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46224</v>
      </c>
      <c r="F46" t="inlineStr">
        <is>
          <t>VÄSTRA GÖTALANDS LÄN</t>
        </is>
      </c>
      <c r="G46" t="inlineStr">
        <is>
          <t>MÖLNDAL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46224</v>
      </c>
      <c r="F47" t="inlineStr">
        <is>
          <t>VÄSTRA GÖTALANDS LÄN</t>
        </is>
      </c>
      <c r="G47" t="inlineStr">
        <is>
          <t>MÖLNDAL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46224</v>
      </c>
      <c r="F48" t="inlineStr">
        <is>
          <t>VÄSTRA GÖTALANDS LÄN</t>
        </is>
      </c>
      <c r="G48" t="inlineStr">
        <is>
          <t>MÖLNDAL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921-2025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45737</v>
      </c>
      <c r="E49" s="1" t="n">
        <v>46224</v>
      </c>
      <c r="F49" t="inlineStr">
        <is>
          <t>VÄSTRA GÖTALANDS LÄN</t>
        </is>
      </c>
      <c r="G49" t="inlineStr">
        <is>
          <t>MÖLNDAL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S 14-2026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46028</v>
      </c>
      <c r="E50" s="1" t="n">
        <v>46224</v>
      </c>
      <c r="F50" t="inlineStr">
        <is>
          <t>VÄSTRA GÖTALANDS LÄN</t>
        </is>
      </c>
      <c r="G50" t="inlineStr">
        <is>
          <t>MÖLNDAL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2026-07-21T01:35:33Z</dcterms:created>
  <dcterms:modified xmlns:dcterms="http://purl.org/dc/terms/" xmlns:xsi="http://www.w3.org/2001/XMLSchema-instance" xsi:type="dcterms:W3CDTF">2026-07-21T01:35:33Z</dcterms:modified>
</cp:coreProperties>
</file>