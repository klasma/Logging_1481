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46255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46255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46255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46255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46255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46255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46255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Klippfrullania
Trubbfjädermossa</t>
        </is>
      </c>
      <c r="W8">
        <f>HYPERLINK("https://klasma.github.io/Logging_1481/artfynd/A 49789-2023 artfynd.xlsx", "A 49789-2023")</f>
        <v/>
      </c>
      <c r="X8">
        <f>HYPERLINK("https://klasma.github.io/Logging_1481/kartor/A 49789-2023 karta.png", "A 49789-2023")</f>
        <v/>
      </c>
      <c r="Y8">
        <f>HYPERLINK("https://klasma.github.io/Logging_1481/kartor_geotiff/A 49789-2023 georefererad karta.tif", "A 49789-2023")</f>
        <v/>
      </c>
      <c r="AA8">
        <f>HYPERLINK("https://klasma.github.io/Logging_1481/klagomål/A 49789-2023 FSC-klagomål.docx", "A 49789-2023")</f>
        <v/>
      </c>
      <c r="AB8">
        <f>HYPERLINK("https://klasma.github.io/Logging_1481/klagomålsmail/A 49789-2023 FSC-klagomål mail.docx", "A 49789-2023")</f>
        <v/>
      </c>
      <c r="AC8">
        <f>HYPERLINK("https://klasma.github.io/Logging_1481/tillsyn/A 49789-2023 tillsynsbegäran.docx", "A 49789-2023")</f>
        <v/>
      </c>
      <c r="AD8">
        <f>HYPERLINK("https://klasma.github.io/Logging_1481/tillsynsmail/A 49789-2023 tillsynsbegäran mail.docx", "A 49789-2023")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46255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46255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46255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46255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46255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46255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44926-2025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46255</v>
      </c>
      <c r="F15" t="inlineStr">
        <is>
          <t>VÄSTRA GÖTALANDS LÄN</t>
        </is>
      </c>
      <c r="G15" t="inlineStr">
        <is>
          <t>MÖLNDAL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HYPERLINK("https://klasma.github.io/Logging_1481/artfynd/A 44926-2025 artfynd.xlsx", "A 44926-2025")</f>
        <v/>
      </c>
      <c r="X15">
        <f>HYPERLINK("https://klasma.github.io/Logging_1481/kartor/A 44926-2025 karta.png", "A 44926-2025")</f>
        <v/>
      </c>
      <c r="Y15">
        <f>HYPERLINK("https://klasma.github.io/Logging_1481/kartor_geotiff/A 44926-2025 georefererad karta.tif", "A 44926-2025")</f>
        <v/>
      </c>
      <c r="AA15">
        <f>HYPERLINK("https://klasma.github.io/Logging_1481/klagomål/A 44926-2025 FSC-klagomål.docx", "A 44926-2025")</f>
        <v/>
      </c>
      <c r="AB15">
        <f>HYPERLINK("https://klasma.github.io/Logging_1481/klagomålsmail/A 44926-2025 FSC-klagomål mail.docx", "A 44926-2025")</f>
        <v/>
      </c>
      <c r="AC15">
        <f>HYPERLINK("https://klasma.github.io/Logging_1481/tillsyn/A 44926-2025 tillsynsbegäran.docx", "A 44926-2025")</f>
        <v/>
      </c>
      <c r="AD15">
        <f>HYPERLINK("https://klasma.github.io/Logging_1481/tillsynsmail/A 44926-2025 tillsynsbegäran mail.docx", "A 44926-2025")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46255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46255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46255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46255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46255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46255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46255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46255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46255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46255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46255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46255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46255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46255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46255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46255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46255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46255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60809-2024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46255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46255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46255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46255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46255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45240</v>
      </c>
      <c r="E39" s="1" t="n">
        <v>46255</v>
      </c>
      <c r="F39" t="inlineStr">
        <is>
          <t>VÄSTRA GÖTALANDS LÄN</t>
        </is>
      </c>
      <c r="G39" t="inlineStr">
        <is>
          <t>MÖLNDAL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46255</v>
      </c>
      <c r="F40" t="inlineStr">
        <is>
          <t>VÄSTRA GÖTALANDS LÄN</t>
        </is>
      </c>
      <c r="G40" t="inlineStr">
        <is>
          <t>MÖLNDAL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46255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45321</v>
      </c>
      <c r="E42" s="1" t="n">
        <v>46255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46255</v>
      </c>
      <c r="F43" t="inlineStr">
        <is>
          <t>VÄSTRA GÖTALANDS LÄN</t>
        </is>
      </c>
      <c r="G43" t="inlineStr">
        <is>
          <t>MÖLNDAL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21477-2025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45782</v>
      </c>
      <c r="E44" s="1" t="n">
        <v>46255</v>
      </c>
      <c r="F44" t="inlineStr">
        <is>
          <t>VÄSTRA GÖTALANDS LÄN</t>
        </is>
      </c>
      <c r="G44" t="inlineStr">
        <is>
          <t>MÖLNDAL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44586</v>
      </c>
      <c r="E45" s="1" t="n">
        <v>46255</v>
      </c>
      <c r="F45" t="inlineStr">
        <is>
          <t>VÄSTRA GÖTALANDS LÄN</t>
        </is>
      </c>
      <c r="G45" t="inlineStr">
        <is>
          <t>MÖLNDAL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46255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46230</v>
      </c>
      <c r="E47" s="1" t="n">
        <v>46255</v>
      </c>
      <c r="F47" t="inlineStr">
        <is>
          <t>VÄSTRA GÖTALANDS LÄN</t>
        </is>
      </c>
      <c r="G47" t="inlineStr">
        <is>
          <t>MÖLNDAL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46255</v>
      </c>
      <c r="F48" t="inlineStr">
        <is>
          <t>VÄSTRA GÖTALANDS LÄN</t>
        </is>
      </c>
      <c r="G48" t="inlineStr">
        <is>
          <t>MÖLNDAL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62804-2023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45271</v>
      </c>
      <c r="E49" s="1" t="n">
        <v>46255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32941-2026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46255</v>
      </c>
      <c r="F50" t="inlineStr">
        <is>
          <t>VÄSTRA GÖTALANDS LÄN</t>
        </is>
      </c>
      <c r="G50" t="inlineStr">
        <is>
          <t>MÖLNDAL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22953-2023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45072</v>
      </c>
      <c r="E51" s="1" t="n">
        <v>46255</v>
      </c>
      <c r="F51" t="inlineStr">
        <is>
          <t>VÄSTRA GÖTALANDS LÄN</t>
        </is>
      </c>
      <c r="G51" t="inlineStr">
        <is>
          <t>MÖLNDAL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46255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46255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46255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2026-08-21T01:49:20Z</dcterms:created>
  <dcterms:modified xmlns:dcterms="http://purl.org/dc/terms/" xmlns:xsi="http://www.w3.org/2001/XMLSchema-instance" xsi:type="dcterms:W3CDTF">2026-08-21T01:49:20Z</dcterms:modified>
</cp:coreProperties>
</file>