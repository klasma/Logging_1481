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46178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s="1" t="n">
        <v>45833</v>
      </c>
      <c r="C3" s="1" t="n">
        <v>46178</v>
      </c>
      <c r="D3" t="inlineStr">
        <is>
          <t>VÄSTRA GÖTALANDS LÄN</t>
        </is>
      </c>
      <c r="E3" t="inlineStr">
        <is>
          <t>MÖLNDAL</t>
        </is>
      </c>
      <c r="G3" t="n">
        <v>6.4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Järpe
Spillkråka
Vedskivlav
Rävticka
Trädporella</t>
        </is>
      </c>
      <c r="S3">
        <f>HYPERLINK("https://klasma.github.io/Logging_1481/artfynd/A 31321-2025 artfynd.xlsx", "A 31321-2025")</f>
        <v/>
      </c>
      <c r="T3">
        <f>HYPERLINK("https://klasma.github.io/Logging_1481/kartor/A 31321-2025 karta.png", "A 31321-2025")</f>
        <v/>
      </c>
      <c r="V3">
        <f>HYPERLINK("https://klasma.github.io/Logging_1481/klagomål/A 31321-2025 FSC-klagomål.docx", "A 31321-2025")</f>
        <v/>
      </c>
      <c r="W3">
        <f>HYPERLINK("https://klasma.github.io/Logging_1481/klagomålsmail/A 31321-2025 FSC-klagomål mail.docx", "A 31321-2025")</f>
        <v/>
      </c>
      <c r="X3">
        <f>HYPERLINK("https://klasma.github.io/Logging_1481/tillsyn/A 31321-2025 tillsynsbegäran.docx", "A 31321-2025")</f>
        <v/>
      </c>
      <c r="Y3">
        <f>HYPERLINK("https://klasma.github.io/Logging_1481/tillsynsmail/A 31321-2025 tillsynsbegäran mail.docx", "A 31321-2025")</f>
        <v/>
      </c>
      <c r="Z3">
        <f>HYPERLINK("https://klasma.github.io/Logging_1481/fåglar/A 31321-2025 prioriterade fågelarter.docx", "A 31321-2025")</f>
        <v/>
      </c>
    </row>
    <row r="4" ht="15" customHeight="1">
      <c r="A4" t="inlineStr">
        <is>
          <t>A 62768-2025</t>
        </is>
      </c>
      <c r="B4" s="1" t="n">
        <v>46008.59856481481</v>
      </c>
      <c r="C4" s="1" t="n">
        <v>46178</v>
      </c>
      <c r="D4" t="inlineStr">
        <is>
          <t>VÄSTRA GÖTALANDS LÄN</t>
        </is>
      </c>
      <c r="E4" t="inlineStr">
        <is>
          <t>MÖLNDAL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Tjäder</t>
        </is>
      </c>
      <c r="S4">
        <f>HYPERLINK("https://klasma.github.io/Logging_1481/artfynd/A 62768-2025 artfynd.xlsx", "A 62768-2025")</f>
        <v/>
      </c>
      <c r="T4">
        <f>HYPERLINK("https://klasma.github.io/Logging_1481/kartor/A 62768-2025 karta.png", "A 62768-2025")</f>
        <v/>
      </c>
      <c r="V4">
        <f>HYPERLINK("https://klasma.github.io/Logging_1481/klagomål/A 62768-2025 FSC-klagomål.docx", "A 62768-2025")</f>
        <v/>
      </c>
      <c r="W4">
        <f>HYPERLINK("https://klasma.github.io/Logging_1481/klagomålsmail/A 62768-2025 FSC-klagomål mail.docx", "A 62768-2025")</f>
        <v/>
      </c>
      <c r="X4">
        <f>HYPERLINK("https://klasma.github.io/Logging_1481/tillsyn/A 62768-2025 tillsynsbegäran.docx", "A 62768-2025")</f>
        <v/>
      </c>
      <c r="Y4">
        <f>HYPERLINK("https://klasma.github.io/Logging_1481/tillsynsmail/A 62768-2025 tillsynsbegäran mail.docx", "A 62768-2025")</f>
        <v/>
      </c>
      <c r="Z4">
        <f>HYPERLINK("https://klasma.github.io/Logging_1481/fåglar/A 62768-2025 prioriterade fågelarter.docx", "A 62768-2025")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46178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46178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46178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46178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46178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393-2025</t>
        </is>
      </c>
      <c r="B10" s="1" t="n">
        <v>45663</v>
      </c>
      <c r="C10" s="1" t="n">
        <v>46178</v>
      </c>
      <c r="D10" t="inlineStr">
        <is>
          <t>VÄSTRA GÖTALANDS LÄN</t>
        </is>
      </c>
      <c r="E10" t="inlineStr">
        <is>
          <t>MÖLNDAL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HYPERLINK("https://klasma.github.io/Logging_1481/artfynd/A 393-2025 artfynd.xlsx", "A 393-2025")</f>
        <v/>
      </c>
      <c r="T10">
        <f>HYPERLINK("https://klasma.github.io/Logging_1481/kartor/A 393-2025 karta.png", "A 393-2025")</f>
        <v/>
      </c>
      <c r="V10">
        <f>HYPERLINK("https://klasma.github.io/Logging_1481/klagomål/A 393-2025 FSC-klagomål.docx", "A 393-2025")</f>
        <v/>
      </c>
      <c r="W10">
        <f>HYPERLINK("https://klasma.github.io/Logging_1481/klagomålsmail/A 393-2025 FSC-klagomål mail.docx", "A 393-2025")</f>
        <v/>
      </c>
      <c r="X10">
        <f>HYPERLINK("https://klasma.github.io/Logging_1481/tillsyn/A 393-2025 tillsynsbegäran.docx", "A 393-2025")</f>
        <v/>
      </c>
      <c r="Y10">
        <f>HYPERLINK("https://klasma.github.io/Logging_1481/tillsynsmail/A 393-2025 tillsynsbegäran mail.docx", "A 393-2025")</f>
        <v/>
      </c>
      <c r="Z10">
        <f>HYPERLINK("https://klasma.github.io/Logging_1481/fåglar/A 393-2025 prioriterade fågelarter.docx", "A 393-2025")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46178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46178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46178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46178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46178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46178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46178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46178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46178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46178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21536-2024</t>
        </is>
      </c>
      <c r="B21" s="1" t="n">
        <v>45441.59925925926</v>
      </c>
      <c r="C21" s="1" t="n">
        <v>46178</v>
      </c>
      <c r="D21" t="inlineStr">
        <is>
          <t>VÄSTRA GÖTALANDS LÄN</t>
        </is>
      </c>
      <c r="E21" t="inlineStr">
        <is>
          <t>MÖLNDAL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46178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46178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46178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46178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46178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10672-2026</t>
        </is>
      </c>
      <c r="B27" s="1" t="n">
        <v>46078.40140046296</v>
      </c>
      <c r="C27" s="1" t="n">
        <v>46178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10661-2026</t>
        </is>
      </c>
      <c r="B28" s="1" t="n">
        <v>46078.37611111111</v>
      </c>
      <c r="C28" s="1" t="n">
        <v>46178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10654-2026</t>
        </is>
      </c>
      <c r="B29" s="1" t="n">
        <v>46078.35840277778</v>
      </c>
      <c r="C29" s="1" t="n">
        <v>46178</v>
      </c>
      <c r="D29" t="inlineStr">
        <is>
          <t>VÄSTRA GÖTALANDS LÄN</t>
        </is>
      </c>
      <c r="E29" t="inlineStr">
        <is>
          <t>MÖLNDAL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46178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22953-2023</t>
        </is>
      </c>
      <c r="B31" s="1" t="n">
        <v>45072</v>
      </c>
      <c r="C31" s="1" t="n">
        <v>46178</v>
      </c>
      <c r="D31" t="inlineStr">
        <is>
          <t>VÄSTRA GÖTALANDS LÄN</t>
        </is>
      </c>
      <c r="E31" t="inlineStr">
        <is>
          <t>MÖLNDAL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48265-2025</t>
        </is>
      </c>
      <c r="B32" s="1" t="n">
        <v>45933</v>
      </c>
      <c r="C32" s="1" t="n">
        <v>46178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23796-2026</t>
        </is>
      </c>
      <c r="B33" s="1" t="n">
        <v>46164</v>
      </c>
      <c r="C33" s="1" t="n">
        <v>46178</v>
      </c>
      <c r="D33" t="inlineStr">
        <is>
          <t>VÄSTRA GÖTALANDS LÄN</t>
        </is>
      </c>
      <c r="E33" t="inlineStr">
        <is>
          <t>MÖLNDAL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62804-2023</t>
        </is>
      </c>
      <c r="B34" s="1" t="n">
        <v>45271</v>
      </c>
      <c r="C34" s="1" t="n">
        <v>46178</v>
      </c>
      <c r="D34" t="inlineStr">
        <is>
          <t>VÄSTRA GÖTALANDS LÄN</t>
        </is>
      </c>
      <c r="E34" t="inlineStr">
        <is>
          <t>MÖLNDAL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46178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61178-2024</t>
        </is>
      </c>
      <c r="B36" s="1" t="n">
        <v>45645</v>
      </c>
      <c r="C36" s="1" t="n">
        <v>46178</v>
      </c>
      <c r="D36" t="inlineStr">
        <is>
          <t>VÄSTRA GÖTALANDS LÄN</t>
        </is>
      </c>
      <c r="E36" t="inlineStr">
        <is>
          <t>MÖLNDAL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46178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46379-2025</t>
        </is>
      </c>
      <c r="B38" s="1" t="n">
        <v>45925</v>
      </c>
      <c r="C38" s="1" t="n">
        <v>46178</v>
      </c>
      <c r="D38" t="inlineStr">
        <is>
          <t>VÄSTRA GÖTALANDS LÄN</t>
        </is>
      </c>
      <c r="E38" t="inlineStr">
        <is>
          <t>MÖLNDAL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46178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22033-2025</t>
        </is>
      </c>
      <c r="B40" s="1" t="n">
        <v>45785.29449074074</v>
      </c>
      <c r="C40" s="1" t="n">
        <v>46178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46178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46178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46178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46178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46178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46178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46178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46178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21477-2025</t>
        </is>
      </c>
      <c r="B49" s="1" t="n">
        <v>45782.59390046296</v>
      </c>
      <c r="C49" s="1" t="n">
        <v>46178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2026-06-05T10:50:53Z</dcterms:created>
  <dcterms:modified xmlns:dcterms="http://purl.org/dc/terms/" xmlns:xsi="http://www.w3.org/2001/XMLSchema-instance" xsi:type="dcterms:W3CDTF">2026-06-05T10:50:53Z</dcterms:modified>
</cp:coreProperties>
</file>