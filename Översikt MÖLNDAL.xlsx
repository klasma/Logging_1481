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46205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46205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46205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s="1" t="n">
        <v>46008</v>
      </c>
      <c r="C5" s="1" t="n">
        <v>46205</v>
      </c>
      <c r="D5" t="inlineStr">
        <is>
          <t>VÄSTRA GÖTALANDS LÄN</t>
        </is>
      </c>
      <c r="E5" t="inlineStr">
        <is>
          <t>MÖLNDAL</t>
        </is>
      </c>
      <c r="G5" t="n">
        <v>4.2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Spillkråka
Tjäder</t>
        </is>
      </c>
      <c r="S5">
        <f>HYPERLINK("https://klasma.github.io/Logging_1481/artfynd/A 62768-2025 artfynd.xlsx", "A 62768-2025")</f>
        <v/>
      </c>
      <c r="T5">
        <f>HYPERLINK("https://klasma.github.io/Logging_1481/kartor/A 62768-2025 karta.png", "A 62768-2025")</f>
        <v/>
      </c>
      <c r="V5">
        <f>HYPERLINK("https://klasma.github.io/Logging_1481/klagomål/A 62768-2025 FSC-klagomål.docx", "A 62768-2025")</f>
        <v/>
      </c>
      <c r="W5">
        <f>HYPERLINK("https://klasma.github.io/Logging_1481/klagomålsmail/A 62768-2025 FSC-klagomål mail.docx", "A 62768-2025")</f>
        <v/>
      </c>
      <c r="X5">
        <f>HYPERLINK("https://klasma.github.io/Logging_1481/tillsyn/A 62768-2025 tillsynsbegäran.docx", "A 62768-2025")</f>
        <v/>
      </c>
      <c r="Y5">
        <f>HYPERLINK("https://klasma.github.io/Logging_1481/tillsynsmail/A 62768-2025 tillsynsbegäran mail.docx", "A 62768-2025")</f>
        <v/>
      </c>
      <c r="Z5">
        <f>HYPERLINK("https://klasma.github.io/Logging_1481/fåglar/A 62768-2025 prioriterade fågelarter.docx", "A 62768-2025")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46205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Duvhök
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46205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46205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Klippfrullania
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46205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46205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s="1" t="n">
        <v>45677</v>
      </c>
      <c r="C11" s="1" t="n">
        <v>46205</v>
      </c>
      <c r="D11" t="inlineStr">
        <is>
          <t>VÄSTRA GÖTALANDS LÄN</t>
        </is>
      </c>
      <c r="E11" t="inlineStr">
        <is>
          <t>MÖLNDAL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2842-2025 artfynd.xlsx", "A 2842-2025")</f>
        <v/>
      </c>
      <c r="T11">
        <f>HYPERLINK("https://klasma.github.io/Logging_1481/kartor/A 2842-2025 karta.png", "A 2842-2025")</f>
        <v/>
      </c>
      <c r="V11">
        <f>HYPERLINK("https://klasma.github.io/Logging_1481/klagomål/A 2842-2025 FSC-klagomål.docx", "A 2842-2025")</f>
        <v/>
      </c>
      <c r="W11">
        <f>HYPERLINK("https://klasma.github.io/Logging_1481/klagomålsmail/A 2842-2025 FSC-klagomål mail.docx", "A 2842-2025")</f>
        <v/>
      </c>
      <c r="X11">
        <f>HYPERLINK("https://klasma.github.io/Logging_1481/tillsyn/A 2842-2025 tillsynsbegäran.docx", "A 2842-2025")</f>
        <v/>
      </c>
      <c r="Y11">
        <f>HYPERLINK("https://klasma.github.io/Logging_1481/tillsynsmail/A 2842-2025 tillsynsbegäran mail.docx", "A 2842-2025")</f>
        <v/>
      </c>
      <c r="Z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s="1" t="n">
        <v>45918</v>
      </c>
      <c r="C12" s="1" t="n">
        <v>46205</v>
      </c>
      <c r="D12" t="inlineStr">
        <is>
          <t>VÄSTRA GÖTALANDS LÄN</t>
        </is>
      </c>
      <c r="E12" t="inlineStr">
        <is>
          <t>MÖLNDAL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HYPERLINK("https://klasma.github.io/Logging_1481/artfynd/A 44926-2025 artfynd.xlsx", "A 44926-2025")</f>
        <v/>
      </c>
      <c r="T12">
        <f>HYPERLINK("https://klasma.github.io/Logging_1481/kartor/A 44926-2025 karta.png", "A 44926-2025")</f>
        <v/>
      </c>
      <c r="V12">
        <f>HYPERLINK("https://klasma.github.io/Logging_1481/klagomål/A 44926-2025 FSC-klagomål.docx", "A 44926-2025")</f>
        <v/>
      </c>
      <c r="W12">
        <f>HYPERLINK("https://klasma.github.io/Logging_1481/klagomålsmail/A 44926-2025 FSC-klagomål mail.docx", "A 44926-2025")</f>
        <v/>
      </c>
      <c r="X12">
        <f>HYPERLINK("https://klasma.github.io/Logging_1481/tillsyn/A 44926-2025 tillsynsbegäran.docx", "A 44926-2025")</f>
        <v/>
      </c>
      <c r="Y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s="1" t="n">
        <v>45847</v>
      </c>
      <c r="C13" s="1" t="n">
        <v>46205</v>
      </c>
      <c r="D13" t="inlineStr">
        <is>
          <t>VÄSTRA GÖTALANDS LÄN</t>
        </is>
      </c>
      <c r="E13" t="inlineStr">
        <is>
          <t>MÖLNDAL</t>
        </is>
      </c>
      <c r="G13" t="n">
        <v>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HYPERLINK("https://klasma.github.io/Logging_1481/artfynd/A 34574-2025 artfynd.xlsx", "A 34574-2025")</f>
        <v/>
      </c>
      <c r="T13">
        <f>HYPERLINK("https://klasma.github.io/Logging_1481/kartor/A 34574-2025 karta.png", "A 34574-2025")</f>
        <v/>
      </c>
      <c r="V13">
        <f>HYPERLINK("https://klasma.github.io/Logging_1481/klagomål/A 34574-2025 FSC-klagomål.docx", "A 34574-2025")</f>
        <v/>
      </c>
      <c r="W13">
        <f>HYPERLINK("https://klasma.github.io/Logging_1481/klagomålsmail/A 34574-2025 FSC-klagomål mail.docx", "A 34574-2025")</f>
        <v/>
      </c>
      <c r="X13">
        <f>HYPERLINK("https://klasma.github.io/Logging_1481/tillsyn/A 34574-2025 tillsynsbegäran.docx", "A 34574-2025")</f>
        <v/>
      </c>
      <c r="Y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s="1" t="n">
        <v>45336</v>
      </c>
      <c r="C14" s="1" t="n">
        <v>46205</v>
      </c>
      <c r="D14" t="inlineStr">
        <is>
          <t>VÄSTRA GÖTALANDS LÄN</t>
        </is>
      </c>
      <c r="E14" t="inlineStr">
        <is>
          <t>MÖLNDAL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HYPERLINK("https://klasma.github.io/Logging_1481/artfynd/A 6042-2024 artfynd.xlsx", "A 6042-2024")</f>
        <v/>
      </c>
      <c r="T14">
        <f>HYPERLINK("https://klasma.github.io/Logging_1481/kartor/A 6042-2024 karta.png", "A 6042-2024")</f>
        <v/>
      </c>
      <c r="V14">
        <f>HYPERLINK("https://klasma.github.io/Logging_1481/klagomål/A 6042-2024 FSC-klagomål.docx", "A 6042-2024")</f>
        <v/>
      </c>
      <c r="W14">
        <f>HYPERLINK("https://klasma.github.io/Logging_1481/klagomålsmail/A 6042-2024 FSC-klagomål mail.docx", "A 6042-2024")</f>
        <v/>
      </c>
      <c r="X14">
        <f>HYPERLINK("https://klasma.github.io/Logging_1481/tillsyn/A 6042-2024 tillsynsbegäran.docx", "A 6042-2024")</f>
        <v/>
      </c>
      <c r="Y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46205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46205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46205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46205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46205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46205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46205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46205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6258-2024</t>
        </is>
      </c>
      <c r="B23" s="1" t="n">
        <v>45337</v>
      </c>
      <c r="C23" s="1" t="n">
        <v>46205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11256-2024</t>
        </is>
      </c>
      <c r="B24" s="1" t="n">
        <v>45371</v>
      </c>
      <c r="C24" s="1" t="n">
        <v>46205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38-2022</t>
        </is>
      </c>
      <c r="B25" s="1" t="n">
        <v>44564</v>
      </c>
      <c r="C25" s="1" t="n">
        <v>46205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</v>
      </c>
      <c r="C26" s="1" t="n">
        <v>46205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</v>
      </c>
      <c r="C27" s="1" t="n">
        <v>46205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</v>
      </c>
      <c r="C28" s="1" t="n">
        <v>46205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</v>
      </c>
      <c r="C29" s="1" t="n">
        <v>46205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</v>
      </c>
      <c r="C30" s="1" t="n">
        <v>46205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</v>
      </c>
      <c r="C31" s="1" t="n">
        <v>46205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10661-2026</t>
        </is>
      </c>
      <c r="B32" s="1" t="n">
        <v>46078</v>
      </c>
      <c r="C32" s="1" t="n">
        <v>46205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10672-2026</t>
        </is>
      </c>
      <c r="B33" s="1" t="n">
        <v>46078</v>
      </c>
      <c r="C33" s="1" t="n">
        <v>46205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10654-2026</t>
        </is>
      </c>
      <c r="B34" s="1" t="n">
        <v>46078</v>
      </c>
      <c r="C34" s="1" t="n">
        <v>46205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61178-2024</t>
        </is>
      </c>
      <c r="B35" s="1" t="n">
        <v>45645</v>
      </c>
      <c r="C35" s="1" t="n">
        <v>46205</v>
      </c>
      <c r="D35" t="inlineStr">
        <is>
          <t>VÄSTRA GÖTALANDS LÄN</t>
        </is>
      </c>
      <c r="E35" t="inlineStr">
        <is>
          <t>MÖLNDAL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</v>
      </c>
      <c r="C36" s="1" t="n">
        <v>46205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21536-2024</t>
        </is>
      </c>
      <c r="B37" s="1" t="n">
        <v>45441</v>
      </c>
      <c r="C37" s="1" t="n">
        <v>46205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46205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</v>
      </c>
      <c r="C39" s="1" t="n">
        <v>46205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</v>
      </c>
      <c r="C40" s="1" t="n">
        <v>46205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</v>
      </c>
      <c r="C41" s="1" t="n">
        <v>46205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</v>
      </c>
      <c r="C42" s="1" t="n">
        <v>46205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46205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</v>
      </c>
      <c r="C44" s="1" t="n">
        <v>46205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28291-2026</t>
        </is>
      </c>
      <c r="B45" s="1" t="n">
        <v>46196</v>
      </c>
      <c r="C45" s="1" t="n">
        <v>46205</v>
      </c>
      <c r="D45" t="inlineStr">
        <is>
          <t>VÄSTRA GÖTALANDS LÄN</t>
        </is>
      </c>
      <c r="E45" t="inlineStr">
        <is>
          <t>MÖLNDAL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46205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46205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21477-2025</t>
        </is>
      </c>
      <c r="B48" s="1" t="n">
        <v>45782</v>
      </c>
      <c r="C48" s="1" t="n">
        <v>46205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2026-07-02T00:58:35Z</dcterms:created>
  <dcterms:modified xmlns:dcterms="http://purl.org/dc/terms/" xmlns:xsi="http://www.w3.org/2001/XMLSchema-instance" xsi:type="dcterms:W3CDTF">2026-07-02T00:58:35Z</dcterms:modified>
</cp:coreProperties>
</file>