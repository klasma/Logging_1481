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46192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  <c r="Z3">
        <f>HYPERLINK("https://klasma.github.io/Logging_1481/fåglar/A 73714-2021 prioriterade fågelarter.docx",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46192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46192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46192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393-2025</t>
        </is>
      </c>
      <c r="B7" s="1" t="n">
        <v>45663</v>
      </c>
      <c r="C7" s="1" t="n">
        <v>46192</v>
      </c>
      <c r="D7" t="inlineStr">
        <is>
          <t>VÄSTRA GÖTALANDS LÄN</t>
        </is>
      </c>
      <c r="E7" t="inlineStr">
        <is>
          <t>MÖLNDAL</t>
        </is>
      </c>
      <c r="G7" t="n">
        <v>5.1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Spillkråka</t>
        </is>
      </c>
      <c r="S7">
        <f>HYPERLINK("https://klasma.github.io/Logging_1481/artfynd/A 393-2025 artfynd.xlsx", "A 393-2025")</f>
        <v/>
      </c>
      <c r="T7">
        <f>HYPERLINK("https://klasma.github.io/Logging_1481/kartor/A 393-2025 karta.png", "A 393-2025")</f>
        <v/>
      </c>
      <c r="V7">
        <f>HYPERLINK("https://klasma.github.io/Logging_1481/klagomål/A 393-2025 FSC-klagomål.docx", "A 393-2025")</f>
        <v/>
      </c>
      <c r="W7">
        <f>HYPERLINK("https://klasma.github.io/Logging_1481/klagomålsmail/A 393-2025 FSC-klagomål mail.docx", "A 393-2025")</f>
        <v/>
      </c>
      <c r="X7">
        <f>HYPERLINK("https://klasma.github.io/Logging_1481/tillsyn/A 393-2025 tillsynsbegäran.docx", "A 393-2025")</f>
        <v/>
      </c>
      <c r="Y7">
        <f>HYPERLINK("https://klasma.github.io/Logging_1481/tillsynsmail/A 393-2025 tillsynsbegäran mail.docx", "A 393-2025")</f>
        <v/>
      </c>
      <c r="Z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s="1" t="n">
        <v>45925</v>
      </c>
      <c r="C8" s="1" t="n">
        <v>46192</v>
      </c>
      <c r="D8" t="inlineStr">
        <is>
          <t>VÄSTRA GÖTALANDS LÄN</t>
        </is>
      </c>
      <c r="E8" t="inlineStr">
        <is>
          <t>MÖLNDAL</t>
        </is>
      </c>
      <c r="G8" t="n">
        <v>3.1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Duvhök
Tjäder</t>
        </is>
      </c>
      <c r="S8">
        <f>HYPERLINK("https://klasma.github.io/Logging_1481/artfynd/A 46384-2025 artfynd.xlsx", "A 46384-2025")</f>
        <v/>
      </c>
      <c r="T8">
        <f>HYPERLINK("https://klasma.github.io/Logging_1481/kartor/A 46384-2025 karta.png", "A 46384-2025")</f>
        <v/>
      </c>
      <c r="V8">
        <f>HYPERLINK("https://klasma.github.io/Logging_1481/klagomål/A 46384-2025 FSC-klagomål.docx", "A 46384-2025")</f>
        <v/>
      </c>
      <c r="W8">
        <f>HYPERLINK("https://klasma.github.io/Logging_1481/klagomålsmail/A 46384-2025 FSC-klagomål mail.docx", "A 46384-2025")</f>
        <v/>
      </c>
      <c r="X8">
        <f>HYPERLINK("https://klasma.github.io/Logging_1481/tillsyn/A 46384-2025 tillsynsbegäran.docx", "A 46384-2025")</f>
        <v/>
      </c>
      <c r="Y8">
        <f>HYPERLINK("https://klasma.github.io/Logging_1481/tillsynsmail/A 46384-2025 tillsynsbegäran mail.docx", "A 46384-2025")</f>
        <v/>
      </c>
      <c r="Z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s="1" t="n">
        <v>45918</v>
      </c>
      <c r="C11" s="1" t="n">
        <v>46192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HYPERLINK("https://klasma.github.io/Logging_1481/artfynd/A 44926-2025 artfynd.xlsx", "A 44926-2025")</f>
        <v/>
      </c>
      <c r="T11">
        <f>HYPERLINK("https://klasma.github.io/Logging_1481/kartor/A 44926-2025 karta.png", "A 44926-2025")</f>
        <v/>
      </c>
      <c r="V11">
        <f>HYPERLINK("https://klasma.github.io/Logging_1481/klagomål/A 44926-2025 FSC-klagomål.docx", "A 44926-2025")</f>
        <v/>
      </c>
      <c r="W11">
        <f>HYPERLINK("https://klasma.github.io/Logging_1481/klagomålsmail/A 44926-2025 FSC-klagomål mail.docx", "A 44926-2025")</f>
        <v/>
      </c>
      <c r="X11">
        <f>HYPERLINK("https://klasma.github.io/Logging_1481/tillsyn/A 44926-2025 tillsynsbegäran.docx", "A 44926-2025")</f>
        <v/>
      </c>
      <c r="Y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s="1" t="n">
        <v>45677</v>
      </c>
      <c r="C12" s="1" t="n">
        <v>46192</v>
      </c>
      <c r="D12" t="inlineStr">
        <is>
          <t>VÄSTRA GÖTALANDS LÄN</t>
        </is>
      </c>
      <c r="E12" t="inlineStr">
        <is>
          <t>MÖLNDAL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HYPERLINK("https://klasma.github.io/Logging_1481/artfynd/A 2842-2025 artfynd.xlsx", "A 2842-2025")</f>
        <v/>
      </c>
      <c r="T12">
        <f>HYPERLINK("https://klasma.github.io/Logging_1481/kartor/A 2842-2025 karta.png", "A 2842-2025")</f>
        <v/>
      </c>
      <c r="V12">
        <f>HYPERLINK("https://klasma.github.io/Logging_1481/klagomål/A 2842-2025 FSC-klagomål.docx", "A 2842-2025")</f>
        <v/>
      </c>
      <c r="W12">
        <f>HYPERLINK("https://klasma.github.io/Logging_1481/klagomålsmail/A 2842-2025 FSC-klagomål mail.docx", "A 2842-2025")</f>
        <v/>
      </c>
      <c r="X12">
        <f>HYPERLINK("https://klasma.github.io/Logging_1481/tillsyn/A 2842-2025 tillsynsbegäran.docx", "A 2842-2025")</f>
        <v/>
      </c>
      <c r="Y12">
        <f>HYPERLINK("https://klasma.github.io/Logging_1481/tillsynsmail/A 2842-2025 tillsynsbegäran mail.docx", "A 2842-2025")</f>
        <v/>
      </c>
      <c r="Z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s="1" t="n">
        <v>45847</v>
      </c>
      <c r="C13" s="1" t="n">
        <v>46192</v>
      </c>
      <c r="D13" t="inlineStr">
        <is>
          <t>VÄSTRA GÖTALANDS LÄN</t>
        </is>
      </c>
      <c r="E13" t="inlineStr">
        <is>
          <t>MÖLNDAL</t>
        </is>
      </c>
      <c r="G13" t="n">
        <v>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HYPERLINK("https://klasma.github.io/Logging_1481/artfynd/A 34574-2025 artfynd.xlsx", "A 34574-2025")</f>
        <v/>
      </c>
      <c r="T13">
        <f>HYPERLINK("https://klasma.github.io/Logging_1481/kartor/A 34574-2025 karta.png", "A 34574-2025")</f>
        <v/>
      </c>
      <c r="V13">
        <f>HYPERLINK("https://klasma.github.io/Logging_1481/klagomål/A 34574-2025 FSC-klagomål.docx", "A 34574-2025")</f>
        <v/>
      </c>
      <c r="W13">
        <f>HYPERLINK("https://klasma.github.io/Logging_1481/klagomålsmail/A 34574-2025 FSC-klagomål mail.docx", "A 34574-2025")</f>
        <v/>
      </c>
      <c r="X13">
        <f>HYPERLINK("https://klasma.github.io/Logging_1481/tillsyn/A 34574-2025 tillsynsbegäran.docx", "A 34574-2025")</f>
        <v/>
      </c>
      <c r="Y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s="1" t="n">
        <v>45336</v>
      </c>
      <c r="C14" s="1" t="n">
        <v>46192</v>
      </c>
      <c r="D14" t="inlineStr">
        <is>
          <t>VÄSTRA GÖTALANDS LÄN</t>
        </is>
      </c>
      <c r="E14" t="inlineStr">
        <is>
          <t>MÖLNDAL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HYPERLINK("https://klasma.github.io/Logging_1481/artfynd/A 6042-2024 artfynd.xlsx", "A 6042-2024")</f>
        <v/>
      </c>
      <c r="T14">
        <f>HYPERLINK("https://klasma.github.io/Logging_1481/kartor/A 6042-2024 karta.png", "A 6042-2024")</f>
        <v/>
      </c>
      <c r="V14">
        <f>HYPERLINK("https://klasma.github.io/Logging_1481/klagomål/A 6042-2024 FSC-klagomål.docx", "A 6042-2024")</f>
        <v/>
      </c>
      <c r="W14">
        <f>HYPERLINK("https://klasma.github.io/Logging_1481/klagomålsmail/A 6042-2024 FSC-klagomål mail.docx", "A 6042-2024")</f>
        <v/>
      </c>
      <c r="X14">
        <f>HYPERLINK("https://klasma.github.io/Logging_1481/tillsyn/A 6042-2024 tillsynsbegäran.docx", "A 6042-2024")</f>
        <v/>
      </c>
      <c r="Y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46192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46192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46192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46192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46192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46192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46192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</v>
      </c>
      <c r="C22" s="1" t="n">
        <v>46192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</v>
      </c>
      <c r="C23" s="1" t="n">
        <v>46192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</v>
      </c>
      <c r="C24" s="1" t="n">
        <v>46192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60809-2024</t>
        </is>
      </c>
      <c r="B25" s="1" t="n">
        <v>45644</v>
      </c>
      <c r="C25" s="1" t="n">
        <v>46192</v>
      </c>
      <c r="D25" t="inlineStr">
        <is>
          <t>VÄSTRA GÖTALANDS LÄN</t>
        </is>
      </c>
      <c r="E25" t="inlineStr">
        <is>
          <t>MÖLNDAL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21536-2024</t>
        </is>
      </c>
      <c r="B26" s="1" t="n">
        <v>45441</v>
      </c>
      <c r="C26" s="1" t="n">
        <v>46192</v>
      </c>
      <c r="D26" t="inlineStr">
        <is>
          <t>VÄSTRA GÖTALANDS LÄN</t>
        </is>
      </c>
      <c r="E26" t="inlineStr">
        <is>
          <t>MÖLNDAL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</v>
      </c>
      <c r="C27" s="1" t="n">
        <v>46192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</v>
      </c>
      <c r="C28" s="1" t="n">
        <v>46192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12273-2024</t>
        </is>
      </c>
      <c r="B29" s="1" t="n">
        <v>45378</v>
      </c>
      <c r="C29" s="1" t="n">
        <v>46192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61178-2024</t>
        </is>
      </c>
      <c r="B30" s="1" t="n">
        <v>45645</v>
      </c>
      <c r="C30" s="1" t="n">
        <v>46192</v>
      </c>
      <c r="D30" t="inlineStr">
        <is>
          <t>VÄSTRA GÖTALANDS LÄN</t>
        </is>
      </c>
      <c r="E30" t="inlineStr">
        <is>
          <t>MÖLNDAL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24771-2023</t>
        </is>
      </c>
      <c r="B31" s="1" t="n">
        <v>45084</v>
      </c>
      <c r="C31" s="1" t="n">
        <v>46192</v>
      </c>
      <c r="D31" t="inlineStr">
        <is>
          <t>VÄSTRA GÖTALANDS LÄN</t>
        </is>
      </c>
      <c r="E31" t="inlineStr">
        <is>
          <t>MÖLNDAL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46192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11261-2024</t>
        </is>
      </c>
      <c r="B33" s="1" t="n">
        <v>45371</v>
      </c>
      <c r="C33" s="1" t="n">
        <v>46192</v>
      </c>
      <c r="D33" t="inlineStr">
        <is>
          <t>VÄSTRA GÖTALANDS LÄN</t>
        </is>
      </c>
      <c r="E33" t="inlineStr">
        <is>
          <t>MÖLNDAL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</v>
      </c>
      <c r="C34" s="1" t="n">
        <v>46192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10672-2026</t>
        </is>
      </c>
      <c r="B35" s="1" t="n">
        <v>46078</v>
      </c>
      <c r="C35" s="1" t="n">
        <v>46192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21477-2025</t>
        </is>
      </c>
      <c r="B36" s="1" t="n">
        <v>45782</v>
      </c>
      <c r="C36" s="1" t="n">
        <v>46192</v>
      </c>
      <c r="D36" t="inlineStr">
        <is>
          <t>VÄSTRA GÖTALANDS LÄN</t>
        </is>
      </c>
      <c r="E36" t="inlineStr">
        <is>
          <t>MÖLNDAL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10661-2026</t>
        </is>
      </c>
      <c r="B37" s="1" t="n">
        <v>46078</v>
      </c>
      <c r="C37" s="1" t="n">
        <v>46192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10654-2026</t>
        </is>
      </c>
      <c r="B38" s="1" t="n">
        <v>46078</v>
      </c>
      <c r="C38" s="1" t="n">
        <v>46192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22953-2023</t>
        </is>
      </c>
      <c r="B39" s="1" t="n">
        <v>45072</v>
      </c>
      <c r="C39" s="1" t="n">
        <v>46192</v>
      </c>
      <c r="D39" t="inlineStr">
        <is>
          <t>VÄSTRA GÖTALANDS LÄN</t>
        </is>
      </c>
      <c r="E39" t="inlineStr">
        <is>
          <t>MÖLNDAL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46192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</v>
      </c>
      <c r="C41" s="1" t="n">
        <v>46192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46192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6258-2024</t>
        </is>
      </c>
      <c r="B43" s="1" t="n">
        <v>45337</v>
      </c>
      <c r="C43" s="1" t="n">
        <v>46192</v>
      </c>
      <c r="D43" t="inlineStr">
        <is>
          <t>VÄSTRA GÖTALANDS LÄN</t>
        </is>
      </c>
      <c r="E43" t="inlineStr">
        <is>
          <t>MÖLNDAL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46192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</v>
      </c>
      <c r="C45" s="1" t="n">
        <v>46192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88-2025</t>
        </is>
      </c>
      <c r="B46" s="1" t="n">
        <v>45659</v>
      </c>
      <c r="C46" s="1" t="n">
        <v>46192</v>
      </c>
      <c r="D46" t="inlineStr">
        <is>
          <t>VÄSTRA GÖTALANDS LÄN</t>
        </is>
      </c>
      <c r="E46" t="inlineStr">
        <is>
          <t>MÖLNDAL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8639-2023</t>
        </is>
      </c>
      <c r="B47" s="1" t="n">
        <v>44977</v>
      </c>
      <c r="C47" s="1" t="n">
        <v>46192</v>
      </c>
      <c r="D47" t="inlineStr">
        <is>
          <t>VÄSTRA GÖTALANDS LÄN</t>
        </is>
      </c>
      <c r="E47" t="inlineStr">
        <is>
          <t>MÖLNDAL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2026-06-19T00:44:48Z</dcterms:created>
  <dcterms:modified xmlns:dcterms="http://purl.org/dc/terms/" xmlns:xsi="http://www.w3.org/2001/XMLSchema-instance" xsi:type="dcterms:W3CDTF">2026-06-19T00:44:48Z</dcterms:modified>
</cp:coreProperties>
</file>