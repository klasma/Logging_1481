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46180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46180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46180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46180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46180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46180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46180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393-2025</t>
        </is>
      </c>
      <c r="B9" s="1" t="n">
        <v>45663</v>
      </c>
      <c r="C9" s="1" t="n">
        <v>46180</v>
      </c>
      <c r="D9" t="inlineStr">
        <is>
          <t>VÄSTRA GÖTALANDS LÄN</t>
        </is>
      </c>
      <c r="E9" t="inlineStr">
        <is>
          <t>MÖLNDAL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HYPERLINK("https://klasma.github.io/Logging_1481/artfynd/A 393-2025 artfynd.xlsx", "A 393-2025")</f>
        <v/>
      </c>
      <c r="T9">
        <f>HYPERLINK("https://klasma.github.io/Logging_1481/kartor/A 393-2025 karta.png", "A 393-2025")</f>
        <v/>
      </c>
      <c r="V9">
        <f>HYPERLINK("https://klasma.github.io/Logging_1481/klagomål/A 393-2025 FSC-klagomål.docx", "A 393-2025")</f>
        <v/>
      </c>
      <c r="W9">
        <f>HYPERLINK("https://klasma.github.io/Logging_1481/klagomålsmail/A 393-2025 FSC-klagomål mail.docx", "A 393-2025")</f>
        <v/>
      </c>
      <c r="X9">
        <f>HYPERLINK("https://klasma.github.io/Logging_1481/tillsyn/A 393-2025 tillsynsbegäran.docx", "A 393-2025")</f>
        <v/>
      </c>
      <c r="Y9">
        <f>HYPERLINK("https://klasma.github.io/Logging_1481/tillsynsmail/A 393-2025 tillsynsbegäran mail.docx", "A 393-2025")</f>
        <v/>
      </c>
      <c r="Z9">
        <f>HYPERLINK("https://klasma.github.io/Logging_1481/fåglar/A 393-2025 prioriterade fågelarter.docx", "A 393-2025")</f>
        <v/>
      </c>
    </row>
    <row r="10" ht="15" customHeight="1">
      <c r="A10" t="inlineStr">
        <is>
          <t>A 49789-2023</t>
        </is>
      </c>
      <c r="B10" s="1" t="n">
        <v>45212</v>
      </c>
      <c r="C10" s="1" t="n">
        <v>46180</v>
      </c>
      <c r="D10" t="inlineStr">
        <is>
          <t>VÄSTRA GÖTALANDS LÄN</t>
        </is>
      </c>
      <c r="E10" t="inlineStr">
        <is>
          <t>MÖLNDAL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Trubbfjädermossa</t>
        </is>
      </c>
      <c r="S10">
        <f>HYPERLINK("https://klasma.github.io/Logging_1481/artfynd/A 49789-2023 artfynd.xlsx", "A 49789-2023")</f>
        <v/>
      </c>
      <c r="T10">
        <f>HYPERLINK("https://klasma.github.io/Logging_1481/kartor/A 49789-2023 karta.png", "A 49789-2023")</f>
        <v/>
      </c>
      <c r="V10">
        <f>HYPERLINK("https://klasma.github.io/Logging_1481/klagomål/A 49789-2023 FSC-klagomål.docx", "A 49789-2023")</f>
        <v/>
      </c>
      <c r="W10">
        <f>HYPERLINK("https://klasma.github.io/Logging_1481/klagomålsmail/A 49789-2023 FSC-klagomål mail.docx", "A 49789-2023")</f>
        <v/>
      </c>
      <c r="X10">
        <f>HYPERLINK("https://klasma.github.io/Logging_1481/tillsyn/A 49789-2023 tillsynsbegäran.docx", "A 49789-2023")</f>
        <v/>
      </c>
      <c r="Y10">
        <f>HYPERLINK("https://klasma.github.io/Logging_1481/tillsynsmail/A 49789-2023 tillsynsbegäran mail.docx", "A 49789-2023")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46180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46180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46180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46180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46180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46180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46180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46180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46180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46180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46180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46180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46180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8639-2023</t>
        </is>
      </c>
      <c r="B24" s="1" t="n">
        <v>44977.95614583333</v>
      </c>
      <c r="C24" s="1" t="n">
        <v>46180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60809-2024</t>
        </is>
      </c>
      <c r="B25" s="1" t="n">
        <v>45644.61414351852</v>
      </c>
      <c r="C25" s="1" t="n">
        <v>46180</v>
      </c>
      <c r="D25" t="inlineStr">
        <is>
          <t>VÄSTRA GÖTALANDS LÄN</t>
        </is>
      </c>
      <c r="E25" t="inlineStr">
        <is>
          <t>MÖLNDAL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46180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46180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45880.37358796296</v>
      </c>
      <c r="C28" s="1" t="n">
        <v>46180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46180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10661-2026</t>
        </is>
      </c>
      <c r="B30" s="1" t="n">
        <v>46078.37611111111</v>
      </c>
      <c r="C30" s="1" t="n">
        <v>46180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10672-2026</t>
        </is>
      </c>
      <c r="B31" s="1" t="n">
        <v>46078.40140046296</v>
      </c>
      <c r="C31" s="1" t="n">
        <v>46180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10654-2026</t>
        </is>
      </c>
      <c r="B32" s="1" t="n">
        <v>46078.35840277778</v>
      </c>
      <c r="C32" s="1" t="n">
        <v>46180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61178-2024</t>
        </is>
      </c>
      <c r="B33" s="1" t="n">
        <v>45645</v>
      </c>
      <c r="C33" s="1" t="n">
        <v>46180</v>
      </c>
      <c r="D33" t="inlineStr">
        <is>
          <t>VÄSTRA GÖTALANDS LÄN</t>
        </is>
      </c>
      <c r="E33" t="inlineStr">
        <is>
          <t>MÖLNDAL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45567.47446759259</v>
      </c>
      <c r="C34" s="1" t="n">
        <v>46180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46180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46180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46180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12273-2024</t>
        </is>
      </c>
      <c r="B38" s="1" t="n">
        <v>45378.47817129629</v>
      </c>
      <c r="C38" s="1" t="n">
        <v>46180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46180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46180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46180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46180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23796-2026</t>
        </is>
      </c>
      <c r="B43" s="1" t="n">
        <v>46164</v>
      </c>
      <c r="C43" s="1" t="n">
        <v>46180</v>
      </c>
      <c r="D43" t="inlineStr">
        <is>
          <t>VÄSTRA GÖTALANDS LÄN</t>
        </is>
      </c>
      <c r="E43" t="inlineStr">
        <is>
          <t>MÖLNDAL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48265-2025</t>
        </is>
      </c>
      <c r="B44" s="1" t="n">
        <v>45933</v>
      </c>
      <c r="C44" s="1" t="n">
        <v>46180</v>
      </c>
      <c r="D44" t="inlineStr">
        <is>
          <t>VÄSTRA GÖTALANDS LÄN</t>
        </is>
      </c>
      <c r="E44" t="inlineStr">
        <is>
          <t>MÖLNDAL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46180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46180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46379-2025</t>
        </is>
      </c>
      <c r="B47" s="1" t="n">
        <v>45925</v>
      </c>
      <c r="C47" s="1" t="n">
        <v>46180</v>
      </c>
      <c r="D47" t="inlineStr">
        <is>
          <t>VÄSTRA GÖTALANDS LÄN</t>
        </is>
      </c>
      <c r="E47" t="inlineStr">
        <is>
          <t>MÖLNDAL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46180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46180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2026-06-07T10:36:36Z</dcterms:created>
  <dcterms:modified xmlns:dcterms="http://purl.org/dc/terms/" xmlns:xsi="http://www.w3.org/2001/XMLSchema-instance" xsi:type="dcterms:W3CDTF">2026-06-07T10:36:36Z</dcterms:modified>
</cp:coreProperties>
</file>