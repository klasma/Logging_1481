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46230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46230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46230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46230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46230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46230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45663</v>
      </c>
      <c r="E8" s="1" t="n">
        <v>46230</v>
      </c>
      <c r="F8" t="inlineStr">
        <is>
          <t>VÄSTRA GÖTALANDS LÄN</t>
        </is>
      </c>
      <c r="G8" t="inlineStr">
        <is>
          <t>MÖLNDAL</t>
        </is>
      </c>
      <c r="I8" t="n">
        <v>5.1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Duvhök
Spillkråka</t>
        </is>
      </c>
      <c r="W8">
        <f>HYPERLINK("https://klasma.github.io/Logging_1481/artfynd/A 393-2025 artfynd.xlsx", "A 393-2025")</f>
        <v/>
      </c>
      <c r="X8">
        <f>HYPERLINK("https://klasma.github.io/Logging_1481/kartor/A 393-2025 karta.png", "A 393-2025")</f>
        <v/>
      </c>
      <c r="Y8">
        <f>HYPERLINK("https://klasma.github.io/Logging_1481/kartor_geotiff/A 393-2025 georefererad karta.tif", "A 393-2025")</f>
        <v/>
      </c>
      <c r="AA8">
        <f>HYPERLINK("https://klasma.github.io/Logging_1481/klagomål/A 393-2025 FSC-klagomål.docx", "A 393-2025")</f>
        <v/>
      </c>
      <c r="AB8">
        <f>HYPERLINK("https://klasma.github.io/Logging_1481/klagomålsmail/A 393-2025 FSC-klagomål mail.docx", "A 393-2025")</f>
        <v/>
      </c>
      <c r="AC8">
        <f>HYPERLINK("https://klasma.github.io/Logging_1481/tillsyn/A 393-2025 tillsynsbegäran.docx", "A 393-2025")</f>
        <v/>
      </c>
      <c r="AD8">
        <f>HYPERLINK("https://klasma.github.io/Logging_1481/tillsynsmail/A 393-2025 tillsynsbegäran mail.docx", "A 393-2025")</f>
        <v/>
      </c>
      <c r="AE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46230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46230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6042-2024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46230</v>
      </c>
      <c r="F11" t="inlineStr">
        <is>
          <t>VÄSTRA GÖTALANDS LÄN</t>
        </is>
      </c>
      <c r="G11" t="inlineStr">
        <is>
          <t>MÖLNDAL</t>
        </is>
      </c>
      <c r="I11" t="n">
        <v>1.7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Guldlockmossa</t>
        </is>
      </c>
      <c r="W11">
        <f>HYPERLINK("https://klasma.github.io/Logging_1481/artfynd/A 6042-2024 artfynd.xlsx", "A 6042-2024")</f>
        <v/>
      </c>
      <c r="X11">
        <f>HYPERLINK("https://klasma.github.io/Logging_1481/kartor/A 6042-2024 karta.png", "A 6042-2024")</f>
        <v/>
      </c>
      <c r="Y11">
        <f>HYPERLINK("https://klasma.github.io/Logging_1481/kartor_geotiff/A 6042-2024 georefererad karta.tif", "A 6042-2024")</f>
        <v/>
      </c>
      <c r="AA11">
        <f>HYPERLINK("https://klasma.github.io/Logging_1481/klagomål/A 6042-2024 FSC-klagomål.docx", "A 6042-2024")</f>
        <v/>
      </c>
      <c r="AB11">
        <f>HYPERLINK("https://klasma.github.io/Logging_1481/klagomålsmail/A 6042-2024 FSC-klagomål mail.docx", "A 6042-2024")</f>
        <v/>
      </c>
      <c r="AC11">
        <f>HYPERLINK("https://klasma.github.io/Logging_1481/tillsyn/A 6042-2024 tillsynsbegäran.docx", "A 6042-2024")</f>
        <v/>
      </c>
      <c r="AD11">
        <f>HYPERLINK("https://klasma.github.io/Logging_1481/tillsynsmail/A 6042-2024 tillsynsbegäran mail.docx", "A 6042-2024")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46230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46379-2025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45925</v>
      </c>
      <c r="E13" s="1" t="n">
        <v>46230</v>
      </c>
      <c r="F13" t="inlineStr">
        <is>
          <t>VÄSTRA GÖTALANDS LÄN</t>
        </is>
      </c>
      <c r="G13" t="inlineStr">
        <is>
          <t>MÖLNDAL</t>
        </is>
      </c>
      <c r="I13" t="n">
        <v>4.8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Fiskgjuse</t>
        </is>
      </c>
      <c r="W13">
        <f>HYPERLINK("https://klasma.github.io/Logging_1481/artfynd/A 46379-2025 artfynd.xlsx", "A 46379-2025")</f>
        <v/>
      </c>
      <c r="X13">
        <f>HYPERLINK("https://klasma.github.io/Logging_1481/kartor/A 46379-2025 karta.png", "A 46379-2025")</f>
        <v/>
      </c>
      <c r="Y13">
        <f>HYPERLINK("https://klasma.github.io/Logging_1481/kartor_geotiff/A 46379-2025 georefererad karta.tif", "A 46379-2025")</f>
        <v/>
      </c>
      <c r="AA13">
        <f>HYPERLINK("https://klasma.github.io/Logging_1481/klagomål/A 46379-2025 FSC-klagomål.docx", "A 46379-2025")</f>
        <v/>
      </c>
      <c r="AB13">
        <f>HYPERLINK("https://klasma.github.io/Logging_1481/klagomålsmail/A 46379-2025 FSC-klagomål mail.docx", "A 46379-2025")</f>
        <v/>
      </c>
      <c r="AC13">
        <f>HYPERLINK("https://klasma.github.io/Logging_1481/tillsyn/A 46379-2025 tillsynsbegäran.docx", "A 46379-2025")</f>
        <v/>
      </c>
      <c r="AD13">
        <f>HYPERLINK("https://klasma.github.io/Logging_1481/tillsynsmail/A 46379-2025 tillsynsbegäran mail.docx", "A 46379-2025")</f>
        <v/>
      </c>
      <c r="AE13">
        <f>HYPERLINK("https://klasma.github.io/Logging_1481/fåglar/A 46379-2025 prioriterade fågelarter.docx", "A 46379-2025")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46230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46230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46230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46230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46230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46230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46230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46230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46230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46230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43067-2024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46230</v>
      </c>
      <c r="F24" t="inlineStr">
        <is>
          <t>VÄSTRA GÖTALANDS LÄN</t>
        </is>
      </c>
      <c r="G24" t="inlineStr">
        <is>
          <t>MÖLNDAL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45378</v>
      </c>
      <c r="E25" s="1" t="n">
        <v>46230</v>
      </c>
      <c r="F25" t="inlineStr">
        <is>
          <t>VÄSTRA GÖTALANDS LÄN</t>
        </is>
      </c>
      <c r="G25" t="inlineStr">
        <is>
          <t>MÖLNDAL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46230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45880</v>
      </c>
      <c r="E27" s="1" t="n">
        <v>46230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46230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45072</v>
      </c>
      <c r="E29" s="1" t="n">
        <v>46230</v>
      </c>
      <c r="F29" t="inlineStr">
        <is>
          <t>VÄSTRA GÖTALANDS LÄN</t>
        </is>
      </c>
      <c r="G29" t="inlineStr">
        <is>
          <t>MÖLNDAL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46230</v>
      </c>
      <c r="F30" t="inlineStr">
        <is>
          <t>VÄSTRA GÖTALANDS LÄN</t>
        </is>
      </c>
      <c r="G30" t="inlineStr">
        <is>
          <t>MÖLNDAL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46230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46230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45337</v>
      </c>
      <c r="E33" s="1" t="n">
        <v>46230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46230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46230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46230</v>
      </c>
      <c r="F36" t="inlineStr">
        <is>
          <t>VÄSTRA GÖTALANDS LÄN</t>
        </is>
      </c>
      <c r="G36" t="inlineStr">
        <is>
          <t>MÖLNDAL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46230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46230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46230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46230</v>
      </c>
      <c r="F40" t="inlineStr">
        <is>
          <t>VÄSTRA GÖTALANDS LÄN</t>
        </is>
      </c>
      <c r="G40" t="inlineStr">
        <is>
          <t>MÖLNDAL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46230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46230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46230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46230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46230</v>
      </c>
      <c r="F45" t="inlineStr">
        <is>
          <t>VÄSTRA GÖTALANDS LÄN</t>
        </is>
      </c>
      <c r="G45" t="inlineStr">
        <is>
          <t>MÖLNDAL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46230</v>
      </c>
      <c r="F46" t="inlineStr">
        <is>
          <t>VÄSTRA GÖTALANDS LÄN</t>
        </is>
      </c>
      <c r="G46" t="inlineStr">
        <is>
          <t>MÖLNDAL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46230</v>
      </c>
      <c r="F47" t="inlineStr">
        <is>
          <t>VÄSTRA GÖTALANDS LÄN</t>
        </is>
      </c>
      <c r="G47" t="inlineStr">
        <is>
          <t>MÖLNDAL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45127</v>
      </c>
      <c r="E48" s="1" t="n">
        <v>46230</v>
      </c>
      <c r="F48" t="inlineStr">
        <is>
          <t>VÄSTRA GÖTALANDS LÄN</t>
        </is>
      </c>
      <c r="G48" t="inlineStr">
        <is>
          <t>MÖLNDAL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46230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46230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2026-07-27T01:49:42Z</dcterms:created>
  <dcterms:modified xmlns:dcterms="http://purl.org/dc/terms/" xmlns:xsi="http://www.w3.org/2001/XMLSchema-instance" xsi:type="dcterms:W3CDTF">2026-07-27T01:49:42Z</dcterms:modified>
</cp:coreProperties>
</file>