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46200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9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Duvhök
Järnsparv
Talltita
Bergfink
Spillkråka
Tjäder
Tofsmes
Grönsiska
Kungsfågel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46200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Ask
Tallticka
Klippfrullania
Gröngöling
Lopplummer (aggregat)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s="1" t="n">
        <v>45833</v>
      </c>
      <c r="C4" s="1" t="n">
        <v>46200</v>
      </c>
      <c r="D4" t="inlineStr">
        <is>
          <t>VÄSTRA GÖTALANDS LÄN</t>
        </is>
      </c>
      <c r="E4" t="inlineStr">
        <is>
          <t>MÖLNDAL</t>
        </is>
      </c>
      <c r="G4" t="n">
        <v>6.4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Vedskivlav
Rävticka
Trädporella
Järpe
Spillkråka</t>
        </is>
      </c>
      <c r="S4">
        <f>HYPERLINK("https://klasma.github.io/Logging_1481/artfynd/A 31321-2025 artfynd.xlsx", "A 31321-2025")</f>
        <v/>
      </c>
      <c r="T4">
        <f>HYPERLINK("https://klasma.github.io/Logging_1481/kartor/A 31321-2025 karta.png", "A 31321-2025")</f>
        <v/>
      </c>
      <c r="V4">
        <f>HYPERLINK("https://klasma.github.io/Logging_1481/klagomål/A 31321-2025 FSC-klagomål.docx", "A 31321-2025")</f>
        <v/>
      </c>
      <c r="W4">
        <f>HYPERLINK("https://klasma.github.io/Logging_1481/klagomålsmail/A 31321-2025 FSC-klagomål mail.docx", "A 31321-2025")</f>
        <v/>
      </c>
      <c r="X4">
        <f>HYPERLINK("https://klasma.github.io/Logging_1481/tillsyn/A 31321-2025 tillsynsbegäran.docx", "A 31321-2025")</f>
        <v/>
      </c>
      <c r="Y4">
        <f>HYPERLINK("https://klasma.github.io/Logging_1481/tillsynsmail/A 31321-2025 tillsynsbegäran mail.docx", "A 31321-2025")</f>
        <v/>
      </c>
      <c r="Z4">
        <f>HYPERLINK("https://klasma.github.io/Logging_1481/fåglar/A 31321-2025 prioriterade fågelarter.docx", "A 31321-2025")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46200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62768-2025</t>
        </is>
      </c>
      <c r="B6" s="1" t="n">
        <v>46008</v>
      </c>
      <c r="C6" s="1" t="n">
        <v>46200</v>
      </c>
      <c r="D6" t="inlineStr">
        <is>
          <t>VÄSTRA GÖTALANDS LÄN</t>
        </is>
      </c>
      <c r="E6" t="inlineStr">
        <is>
          <t>MÖLNDAL</t>
        </is>
      </c>
      <c r="G6" t="n">
        <v>4.2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Spillkråka
Tjäder</t>
        </is>
      </c>
      <c r="S6">
        <f>HYPERLINK("https://klasma.github.io/Logging_1481/artfynd/A 62768-2025 artfynd.xlsx", "A 62768-2025")</f>
        <v/>
      </c>
      <c r="T6">
        <f>HYPERLINK("https://klasma.github.io/Logging_1481/kartor/A 62768-2025 karta.png", "A 62768-2025")</f>
        <v/>
      </c>
      <c r="V6">
        <f>HYPERLINK("https://klasma.github.io/Logging_1481/klagomål/A 62768-2025 FSC-klagomål.docx", "A 62768-2025")</f>
        <v/>
      </c>
      <c r="W6">
        <f>HYPERLINK("https://klasma.github.io/Logging_1481/klagomålsmail/A 62768-2025 FSC-klagomål mail.docx", "A 62768-2025")</f>
        <v/>
      </c>
      <c r="X6">
        <f>HYPERLINK("https://klasma.github.io/Logging_1481/tillsyn/A 62768-2025 tillsynsbegäran.docx", "A 62768-2025")</f>
        <v/>
      </c>
      <c r="Y6">
        <f>HYPERLINK("https://klasma.github.io/Logging_1481/tillsynsmail/A 62768-2025 tillsynsbegäran mail.docx", "A 62768-2025")</f>
        <v/>
      </c>
      <c r="Z6">
        <f>HYPERLINK("https://klasma.github.io/Logging_1481/fåglar/A 62768-2025 prioriterade fågelarter.docx", "A 62768-2025")</f>
        <v/>
      </c>
    </row>
    <row r="7" ht="15" customHeight="1">
      <c r="A7" t="inlineStr">
        <is>
          <t>A 393-2025</t>
        </is>
      </c>
      <c r="B7" s="1" t="n">
        <v>45663</v>
      </c>
      <c r="C7" s="1" t="n">
        <v>46200</v>
      </c>
      <c r="D7" t="inlineStr">
        <is>
          <t>VÄSTRA GÖTALANDS LÄN</t>
        </is>
      </c>
      <c r="E7" t="inlineStr">
        <is>
          <t>MÖLNDAL</t>
        </is>
      </c>
      <c r="G7" t="n">
        <v>5.1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Duvhök
Spillkråka</t>
        </is>
      </c>
      <c r="S7">
        <f>HYPERLINK("https://klasma.github.io/Logging_1481/artfynd/A 393-2025 artfynd.xlsx", "A 393-2025")</f>
        <v/>
      </c>
      <c r="T7">
        <f>HYPERLINK("https://klasma.github.io/Logging_1481/kartor/A 393-2025 karta.png", "A 393-2025")</f>
        <v/>
      </c>
      <c r="V7">
        <f>HYPERLINK("https://klasma.github.io/Logging_1481/klagomål/A 393-2025 FSC-klagomål.docx", "A 393-2025")</f>
        <v/>
      </c>
      <c r="W7">
        <f>HYPERLINK("https://klasma.github.io/Logging_1481/klagomålsmail/A 393-2025 FSC-klagomål mail.docx", "A 393-2025")</f>
        <v/>
      </c>
      <c r="X7">
        <f>HYPERLINK("https://klasma.github.io/Logging_1481/tillsyn/A 393-2025 tillsynsbegäran.docx", "A 393-2025")</f>
        <v/>
      </c>
      <c r="Y7">
        <f>HYPERLINK("https://klasma.github.io/Logging_1481/tillsynsmail/A 393-2025 tillsynsbegäran mail.docx", "A 393-2025")</f>
        <v/>
      </c>
      <c r="Z7">
        <f>HYPERLINK("https://klasma.github.io/Logging_1481/fåglar/A 393-2025 prioriterade fågelarter.docx", "A 393-2025")</f>
        <v/>
      </c>
    </row>
    <row r="8" ht="15" customHeight="1">
      <c r="A8" t="inlineStr">
        <is>
          <t>A 46384-2025</t>
        </is>
      </c>
      <c r="B8" s="1" t="n">
        <v>45925</v>
      </c>
      <c r="C8" s="1" t="n">
        <v>46200</v>
      </c>
      <c r="D8" t="inlineStr">
        <is>
          <t>VÄSTRA GÖTALANDS LÄN</t>
        </is>
      </c>
      <c r="E8" t="inlineStr">
        <is>
          <t>MÖLNDAL</t>
        </is>
      </c>
      <c r="G8" t="n">
        <v>3.1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Duvhök
Tjäder</t>
        </is>
      </c>
      <c r="S8">
        <f>HYPERLINK("https://klasma.github.io/Logging_1481/artfynd/A 46384-2025 artfynd.xlsx", "A 46384-2025")</f>
        <v/>
      </c>
      <c r="T8">
        <f>HYPERLINK("https://klasma.github.io/Logging_1481/kartor/A 46384-2025 karta.png", "A 46384-2025")</f>
        <v/>
      </c>
      <c r="V8">
        <f>HYPERLINK("https://klasma.github.io/Logging_1481/klagomål/A 46384-2025 FSC-klagomål.docx", "A 46384-2025")</f>
        <v/>
      </c>
      <c r="W8">
        <f>HYPERLINK("https://klasma.github.io/Logging_1481/klagomålsmail/A 46384-2025 FSC-klagomål mail.docx", "A 46384-2025")</f>
        <v/>
      </c>
      <c r="X8">
        <f>HYPERLINK("https://klasma.github.io/Logging_1481/tillsyn/A 46384-2025 tillsynsbegäran.docx", "A 46384-2025")</f>
        <v/>
      </c>
      <c r="Y8">
        <f>HYPERLINK("https://klasma.github.io/Logging_1481/tillsynsmail/A 46384-2025 tillsynsbegäran mail.docx", "A 46384-2025")</f>
        <v/>
      </c>
      <c r="Z8">
        <f>HYPERLINK("https://klasma.github.io/Logging_1481/fåglar/A 46384-2025 prioriterade fågelarter.docx", "A 46384-2025")</f>
        <v/>
      </c>
    </row>
    <row r="9" ht="15" customHeight="1">
      <c r="A9" t="inlineStr">
        <is>
          <t>A 42415-2022</t>
        </is>
      </c>
      <c r="B9" s="1" t="n">
        <v>44831</v>
      </c>
      <c r="C9" s="1" t="n">
        <v>46200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HYPERLINK("https://klasma.github.io/Logging_1481/artfynd/A 42415-2022 artfynd.xlsx", "A 42415-2022")</f>
        <v/>
      </c>
      <c r="T9">
        <f>HYPERLINK("https://klasma.github.io/Logging_1481/kartor/A 42415-2022 karta.png", "A 42415-2022")</f>
        <v/>
      </c>
      <c r="V9">
        <f>HYPERLINK("https://klasma.github.io/Logging_1481/klagomål/A 42415-2022 FSC-klagomål.docx", "A 42415-2022")</f>
        <v/>
      </c>
      <c r="W9">
        <f>HYPERLINK("https://klasma.github.io/Logging_1481/klagomålsmail/A 42415-2022 FSC-klagomål mail.docx", "A 42415-2022")</f>
        <v/>
      </c>
      <c r="X9">
        <f>HYPERLINK("https://klasma.github.io/Logging_1481/tillsyn/A 42415-2022 tillsynsbegäran.docx", "A 42415-2022")</f>
        <v/>
      </c>
      <c r="Y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s="1" t="n">
        <v>44586</v>
      </c>
      <c r="C10" s="1" t="n">
        <v>46200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HYPERLINK("https://klasma.github.io/Logging_1481/artfynd/A 3678-2022 artfynd.xlsx", "A 3678-2022")</f>
        <v/>
      </c>
      <c r="T10">
        <f>HYPERLINK("https://klasma.github.io/Logging_1481/kartor/A 3678-2022 karta.png", "A 3678-2022")</f>
        <v/>
      </c>
      <c r="V10">
        <f>HYPERLINK("https://klasma.github.io/Logging_1481/klagomål/A 3678-2022 FSC-klagomål.docx", "A 3678-2022")</f>
        <v/>
      </c>
      <c r="W10">
        <f>HYPERLINK("https://klasma.github.io/Logging_1481/klagomålsmail/A 3678-2022 FSC-klagomål mail.docx", "A 3678-2022")</f>
        <v/>
      </c>
      <c r="X10">
        <f>HYPERLINK("https://klasma.github.io/Logging_1481/tillsyn/A 3678-2022 tillsynsbegäran.docx", "A 3678-2022")</f>
        <v/>
      </c>
      <c r="Y10">
        <f>HYPERLINK("https://klasma.github.io/Logging_1481/tillsynsmail/A 3678-2022 tillsynsbegäran mail.docx", "A 3678-2022")</f>
        <v/>
      </c>
      <c r="Z10">
        <f>HYPERLINK("https://klasma.github.io/Logging_1481/fåglar/A 3678-2022 prioriterade fågelarter.docx", "A 3678-2022")</f>
        <v/>
      </c>
    </row>
    <row r="11" ht="15" customHeight="1">
      <c r="A11" t="inlineStr">
        <is>
          <t>A 2842-2025</t>
        </is>
      </c>
      <c r="B11" s="1" t="n">
        <v>45677</v>
      </c>
      <c r="C11" s="1" t="n">
        <v>46200</v>
      </c>
      <c r="D11" t="inlineStr">
        <is>
          <t>VÄSTRA GÖTALANDS LÄN</t>
        </is>
      </c>
      <c r="E11" t="inlineStr">
        <is>
          <t>MÖLNDAL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HYPERLINK("https://klasma.github.io/Logging_1481/artfynd/A 2842-2025 artfynd.xlsx", "A 2842-2025")</f>
        <v/>
      </c>
      <c r="T11">
        <f>HYPERLINK("https://klasma.github.io/Logging_1481/kartor/A 2842-2025 karta.png", "A 2842-2025")</f>
        <v/>
      </c>
      <c r="V11">
        <f>HYPERLINK("https://klasma.github.io/Logging_1481/klagomål/A 2842-2025 FSC-klagomål.docx", "A 2842-2025")</f>
        <v/>
      </c>
      <c r="W11">
        <f>HYPERLINK("https://klasma.github.io/Logging_1481/klagomålsmail/A 2842-2025 FSC-klagomål mail.docx", "A 2842-2025")</f>
        <v/>
      </c>
      <c r="X11">
        <f>HYPERLINK("https://klasma.github.io/Logging_1481/tillsyn/A 2842-2025 tillsynsbegäran.docx", "A 2842-2025")</f>
        <v/>
      </c>
      <c r="Y11">
        <f>HYPERLINK("https://klasma.github.io/Logging_1481/tillsynsmail/A 2842-2025 tillsynsbegäran mail.docx", "A 2842-2025")</f>
        <v/>
      </c>
      <c r="Z11">
        <f>HYPERLINK("https://klasma.github.io/Logging_1481/fåglar/A 2842-2025 prioriterade fågelarter.docx", "A 2842-2025")</f>
        <v/>
      </c>
    </row>
    <row r="12" ht="15" customHeight="1">
      <c r="A12" t="inlineStr">
        <is>
          <t>A 34574-2025</t>
        </is>
      </c>
      <c r="B12" s="1" t="n">
        <v>45847</v>
      </c>
      <c r="C12" s="1" t="n">
        <v>46200</v>
      </c>
      <c r="D12" t="inlineStr">
        <is>
          <t>VÄSTRA GÖTALANDS LÄN</t>
        </is>
      </c>
      <c r="E12" t="inlineStr">
        <is>
          <t>MÖLNDAL</t>
        </is>
      </c>
      <c r="G12" t="n">
        <v>7.4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HYPERLINK("https://klasma.github.io/Logging_1481/artfynd/A 34574-2025 artfynd.xlsx", "A 34574-2025")</f>
        <v/>
      </c>
      <c r="T12">
        <f>HYPERLINK("https://klasma.github.io/Logging_1481/kartor/A 34574-2025 karta.png", "A 34574-2025")</f>
        <v/>
      </c>
      <c r="V12">
        <f>HYPERLINK("https://klasma.github.io/Logging_1481/klagomål/A 34574-2025 FSC-klagomål.docx", "A 34574-2025")</f>
        <v/>
      </c>
      <c r="W12">
        <f>HYPERLINK("https://klasma.github.io/Logging_1481/klagomålsmail/A 34574-2025 FSC-klagomål mail.docx", "A 34574-2025")</f>
        <v/>
      </c>
      <c r="X12">
        <f>HYPERLINK("https://klasma.github.io/Logging_1481/tillsyn/A 34574-2025 tillsynsbegäran.docx", "A 34574-2025")</f>
        <v/>
      </c>
      <c r="Y12">
        <f>HYPERLINK("https://klasma.github.io/Logging_1481/tillsynsmail/A 34574-2025 tillsynsbegäran mail.docx", "A 34574-2025")</f>
        <v/>
      </c>
    </row>
    <row r="13" ht="15" customHeight="1">
      <c r="A13" t="inlineStr">
        <is>
          <t>A 6042-2024</t>
        </is>
      </c>
      <c r="B13" s="1" t="n">
        <v>45336</v>
      </c>
      <c r="C13" s="1" t="n">
        <v>46200</v>
      </c>
      <c r="D13" t="inlineStr">
        <is>
          <t>VÄSTRA GÖTALANDS LÄN</t>
        </is>
      </c>
      <c r="E13" t="inlineStr">
        <is>
          <t>MÖLNDAL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Guldlockmossa</t>
        </is>
      </c>
      <c r="S13">
        <f>HYPERLINK("https://klasma.github.io/Logging_1481/artfynd/A 6042-2024 artfynd.xlsx", "A 6042-2024")</f>
        <v/>
      </c>
      <c r="T13">
        <f>HYPERLINK("https://klasma.github.io/Logging_1481/kartor/A 6042-2024 karta.png", "A 6042-2024")</f>
        <v/>
      </c>
      <c r="V13">
        <f>HYPERLINK("https://klasma.github.io/Logging_1481/klagomål/A 6042-2024 FSC-klagomål.docx", "A 6042-2024")</f>
        <v/>
      </c>
      <c r="W13">
        <f>HYPERLINK("https://klasma.github.io/Logging_1481/klagomålsmail/A 6042-2024 FSC-klagomål mail.docx", "A 6042-2024")</f>
        <v/>
      </c>
      <c r="X13">
        <f>HYPERLINK("https://klasma.github.io/Logging_1481/tillsyn/A 6042-2024 tillsynsbegäran.docx", "A 6042-2024")</f>
        <v/>
      </c>
      <c r="Y13">
        <f>HYPERLINK("https://klasma.github.io/Logging_1481/tillsynsmail/A 6042-2024 tillsynsbegäran mail.docx", "A 6042-2024")</f>
        <v/>
      </c>
    </row>
    <row r="14" ht="15" customHeight="1">
      <c r="A14" t="inlineStr">
        <is>
          <t>A 44926-2025</t>
        </is>
      </c>
      <c r="B14" s="1" t="n">
        <v>45918</v>
      </c>
      <c r="C14" s="1" t="n">
        <v>46200</v>
      </c>
      <c r="D14" t="inlineStr">
        <is>
          <t>VÄSTRA GÖTALANDS LÄN</t>
        </is>
      </c>
      <c r="E14" t="inlineStr">
        <is>
          <t>MÖLNDAL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HYPERLINK("https://klasma.github.io/Logging_1481/artfynd/A 44926-2025 artfynd.xlsx", "A 44926-2025")</f>
        <v/>
      </c>
      <c r="T14">
        <f>HYPERLINK("https://klasma.github.io/Logging_1481/kartor/A 44926-2025 karta.png", "A 44926-2025")</f>
        <v/>
      </c>
      <c r="V14">
        <f>HYPERLINK("https://klasma.github.io/Logging_1481/klagomål/A 44926-2025 FSC-klagomål.docx", "A 44926-2025")</f>
        <v/>
      </c>
      <c r="W14">
        <f>HYPERLINK("https://klasma.github.io/Logging_1481/klagomålsmail/A 44926-2025 FSC-klagomål mail.docx", "A 44926-2025")</f>
        <v/>
      </c>
      <c r="X14">
        <f>HYPERLINK("https://klasma.github.io/Logging_1481/tillsyn/A 44926-2025 tillsynsbegäran.docx", "A 44926-2025")</f>
        <v/>
      </c>
      <c r="Y14">
        <f>HYPERLINK("https://klasma.github.io/Logging_1481/tillsynsmail/A 44926-2025 tillsynsbegäran mail.docx", "A 44926-2025")</f>
        <v/>
      </c>
    </row>
    <row r="15" ht="15" customHeight="1">
      <c r="A15" t="inlineStr">
        <is>
          <t>A 46379-2025</t>
        </is>
      </c>
      <c r="B15" s="1" t="n">
        <v>45925</v>
      </c>
      <c r="C15" s="1" t="n">
        <v>46200</v>
      </c>
      <c r="D15" t="inlineStr">
        <is>
          <t>VÄSTRA GÖTALANDS LÄN</t>
        </is>
      </c>
      <c r="E15" t="inlineStr">
        <is>
          <t>MÖLNDAL</t>
        </is>
      </c>
      <c r="G15" t="n">
        <v>4.8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Fiskgjuse</t>
        </is>
      </c>
      <c r="S15">
        <f>HYPERLINK("https://klasma.github.io/Logging_1481/artfynd/A 46379-2025 artfynd.xlsx", "A 46379-2025")</f>
        <v/>
      </c>
      <c r="T15">
        <f>HYPERLINK("https://klasma.github.io/Logging_1481/kartor/A 46379-2025 karta.png", "A 46379-2025")</f>
        <v/>
      </c>
      <c r="V15">
        <f>HYPERLINK("https://klasma.github.io/Logging_1481/klagomål/A 46379-2025 FSC-klagomål.docx", "A 46379-2025")</f>
        <v/>
      </c>
      <c r="W15">
        <f>HYPERLINK("https://klasma.github.io/Logging_1481/klagomålsmail/A 46379-2025 FSC-klagomål mail.docx", "A 46379-2025")</f>
        <v/>
      </c>
      <c r="X15">
        <f>HYPERLINK("https://klasma.github.io/Logging_1481/tillsyn/A 46379-2025 tillsynsbegäran.docx", "A 46379-2025")</f>
        <v/>
      </c>
      <c r="Y15">
        <f>HYPERLINK("https://klasma.github.io/Logging_1481/tillsynsmail/A 46379-2025 tillsynsbegäran mail.docx", "A 46379-2025")</f>
        <v/>
      </c>
      <c r="Z15">
        <f>HYPERLINK("https://klasma.github.io/Logging_1481/fåglar/A 46379-2025 prioriterade fågelarter.docx", "A 46379-2025")</f>
        <v/>
      </c>
    </row>
    <row r="16" ht="15" customHeight="1">
      <c r="A16" t="inlineStr">
        <is>
          <t>A 48265-2025</t>
        </is>
      </c>
      <c r="B16" s="1" t="n">
        <v>45933</v>
      </c>
      <c r="C16" s="1" t="n">
        <v>46200</v>
      </c>
      <c r="D16" t="inlineStr">
        <is>
          <t>VÄSTRA GÖTALANDS LÄN</t>
        </is>
      </c>
      <c r="E16" t="inlineStr">
        <is>
          <t>MÖLNDAL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HYPERLINK("https://klasma.github.io/Logging_1481/artfynd/A 48265-2025 artfynd.xlsx", "A 48265-2025")</f>
        <v/>
      </c>
      <c r="T16">
        <f>HYPERLINK("https://klasma.github.io/Logging_1481/kartor/A 48265-2025 karta.png", "A 48265-2025")</f>
        <v/>
      </c>
      <c r="V16">
        <f>HYPERLINK("https://klasma.github.io/Logging_1481/klagomål/A 48265-2025 FSC-klagomål.docx", "A 48265-2025")</f>
        <v/>
      </c>
      <c r="W16">
        <f>HYPERLINK("https://klasma.github.io/Logging_1481/klagomålsmail/A 48265-2025 FSC-klagomål mail.docx", "A 48265-2025")</f>
        <v/>
      </c>
      <c r="X16">
        <f>HYPERLINK("https://klasma.github.io/Logging_1481/tillsyn/A 48265-2025 tillsynsbegäran.docx", "A 48265-2025")</f>
        <v/>
      </c>
      <c r="Y16">
        <f>HYPERLINK("https://klasma.github.io/Logging_1481/tillsynsmail/A 48265-2025 tillsynsbegäran mail.docx", "A 48265-2025")</f>
        <v/>
      </c>
      <c r="Z16">
        <f>HYPERLINK("https://klasma.github.io/Logging_1481/fåglar/A 48265-2025 prioriterade fågelarter.docx", "A 48265-2025")</f>
        <v/>
      </c>
    </row>
    <row r="17" ht="15" customHeight="1">
      <c r="A17" t="inlineStr">
        <is>
          <t>A 65698-2021</t>
        </is>
      </c>
      <c r="B17" s="1" t="n">
        <v>44516</v>
      </c>
      <c r="C17" s="1" t="n">
        <v>46200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42380-2022</t>
        </is>
      </c>
      <c r="B18" s="1" t="n">
        <v>44831</v>
      </c>
      <c r="C18" s="1" t="n">
        <v>46200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23877-2022</t>
        </is>
      </c>
      <c r="B19" s="1" t="n">
        <v>44722</v>
      </c>
      <c r="C19" s="1" t="n">
        <v>46200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3673-2022</t>
        </is>
      </c>
      <c r="B20" s="1" t="n">
        <v>44586</v>
      </c>
      <c r="C20" s="1" t="n">
        <v>46200</v>
      </c>
      <c r="D20" t="inlineStr">
        <is>
          <t>VÄSTRA GÖTALANDS LÄN</t>
        </is>
      </c>
      <c r="E20" t="inlineStr">
        <is>
          <t>MÖLNDAL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51537-2021</t>
        </is>
      </c>
      <c r="B21" s="1" t="n">
        <v>44462</v>
      </c>
      <c r="C21" s="1" t="n">
        <v>46200</v>
      </c>
      <c r="D21" t="inlineStr">
        <is>
          <t>VÄSTRA GÖTALANDS LÄN</t>
        </is>
      </c>
      <c r="E21" t="inlineStr">
        <is>
          <t>MÖLNDAL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</v>
      </c>
      <c r="C22" s="1" t="n">
        <v>46200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26650-2022</t>
        </is>
      </c>
      <c r="B23" s="1" t="n">
        <v>44739</v>
      </c>
      <c r="C23" s="1" t="n">
        <v>46200</v>
      </c>
      <c r="D23" t="inlineStr">
        <is>
          <t>VÄSTRA GÖTALANDS LÄN</t>
        </is>
      </c>
      <c r="E23" t="inlineStr">
        <is>
          <t>MÖLNDAL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88-2025</t>
        </is>
      </c>
      <c r="B24" s="1" t="n">
        <v>45659</v>
      </c>
      <c r="C24" s="1" t="n">
        <v>46200</v>
      </c>
      <c r="D24" t="inlineStr">
        <is>
          <t>VÄSTRA GÖTALANDS LÄN</t>
        </is>
      </c>
      <c r="E24" t="inlineStr">
        <is>
          <t>MÖLNDAL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8639-2023</t>
        </is>
      </c>
      <c r="B25" s="1" t="n">
        <v>44977</v>
      </c>
      <c r="C25" s="1" t="n">
        <v>46200</v>
      </c>
      <c r="D25" t="inlineStr">
        <is>
          <t>VÄSTRA GÖTALANDS LÄN</t>
        </is>
      </c>
      <c r="E25" t="inlineStr">
        <is>
          <t>MÖLNDAL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24771-2023</t>
        </is>
      </c>
      <c r="B26" s="1" t="n">
        <v>45084</v>
      </c>
      <c r="C26" s="1" t="n">
        <v>46200</v>
      </c>
      <c r="D26" t="inlineStr">
        <is>
          <t>VÄSTRA GÖTALANDS LÄN</t>
        </is>
      </c>
      <c r="E26" t="inlineStr">
        <is>
          <t>MÖLNDAL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21536-2024</t>
        </is>
      </c>
      <c r="B27" s="1" t="n">
        <v>45441</v>
      </c>
      <c r="C27" s="1" t="n">
        <v>46200</v>
      </c>
      <c r="D27" t="inlineStr">
        <is>
          <t>VÄSTRA GÖTALANDS LÄN</t>
        </is>
      </c>
      <c r="E27" t="inlineStr">
        <is>
          <t>MÖLNDAL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43067-2024</t>
        </is>
      </c>
      <c r="B28" s="1" t="n">
        <v>45567</v>
      </c>
      <c r="C28" s="1" t="n">
        <v>46200</v>
      </c>
      <c r="D28" t="inlineStr">
        <is>
          <t>VÄSTRA GÖTALANDS LÄN</t>
        </is>
      </c>
      <c r="E28" t="inlineStr">
        <is>
          <t>MÖLNDAL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22953-2023</t>
        </is>
      </c>
      <c r="B29" s="1" t="n">
        <v>45072</v>
      </c>
      <c r="C29" s="1" t="n">
        <v>46200</v>
      </c>
      <c r="D29" t="inlineStr">
        <is>
          <t>VÄSTRA GÖTALANDS LÄN</t>
        </is>
      </c>
      <c r="E29" t="inlineStr">
        <is>
          <t>MÖLNDAL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12273-2024</t>
        </is>
      </c>
      <c r="B30" s="1" t="n">
        <v>45378</v>
      </c>
      <c r="C30" s="1" t="n">
        <v>46200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62804-2023</t>
        </is>
      </c>
      <c r="B31" s="1" t="n">
        <v>45271</v>
      </c>
      <c r="C31" s="1" t="n">
        <v>46200</v>
      </c>
      <c r="D31" t="inlineStr">
        <is>
          <t>VÄSTRA GÖTALANDS LÄN</t>
        </is>
      </c>
      <c r="E31" t="inlineStr">
        <is>
          <t>MÖLNDAL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60809-2024</t>
        </is>
      </c>
      <c r="B32" s="1" t="n">
        <v>45644</v>
      </c>
      <c r="C32" s="1" t="n">
        <v>46200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56133-2023</t>
        </is>
      </c>
      <c r="B33" s="1" t="n">
        <v>45240</v>
      </c>
      <c r="C33" s="1" t="n">
        <v>46200</v>
      </c>
      <c r="D33" t="inlineStr">
        <is>
          <t>VÄSTRA GÖTALANDS LÄN</t>
        </is>
      </c>
      <c r="E33" t="inlineStr">
        <is>
          <t>MÖLNDAL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3811-2024</t>
        </is>
      </c>
      <c r="B34" s="1" t="n">
        <v>45321</v>
      </c>
      <c r="C34" s="1" t="n">
        <v>46200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3676-2022</t>
        </is>
      </c>
      <c r="B35" s="1" t="n">
        <v>44586</v>
      </c>
      <c r="C35" s="1" t="n">
        <v>46200</v>
      </c>
      <c r="D35" t="inlineStr">
        <is>
          <t>VÄSTRA GÖTALANDS LÄN</t>
        </is>
      </c>
      <c r="E35" t="inlineStr">
        <is>
          <t>MÖLNDAL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6258-2024</t>
        </is>
      </c>
      <c r="B36" s="1" t="n">
        <v>45337</v>
      </c>
      <c r="C36" s="1" t="n">
        <v>46200</v>
      </c>
      <c r="D36" t="inlineStr">
        <is>
          <t>VÄSTRA GÖTALANDS LÄN</t>
        </is>
      </c>
      <c r="E36" t="inlineStr">
        <is>
          <t>MÖLNDAL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11261-2024</t>
        </is>
      </c>
      <c r="B37" s="1" t="n">
        <v>45371</v>
      </c>
      <c r="C37" s="1" t="n">
        <v>46200</v>
      </c>
      <c r="D37" t="inlineStr">
        <is>
          <t>VÄSTRA GÖTALANDS LÄN</t>
        </is>
      </c>
      <c r="E37" t="inlineStr">
        <is>
          <t>MÖLNDAL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19295-2025</t>
        </is>
      </c>
      <c r="B38" s="1" t="n">
        <v>45769</v>
      </c>
      <c r="C38" s="1" t="n">
        <v>46200</v>
      </c>
      <c r="D38" t="inlineStr">
        <is>
          <t>VÄSTRA GÖTALANDS LÄN</t>
        </is>
      </c>
      <c r="E38" t="inlineStr">
        <is>
          <t>MÖLNDAL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33201-2023</t>
        </is>
      </c>
      <c r="B39" s="1" t="n">
        <v>45127</v>
      </c>
      <c r="C39" s="1" t="n">
        <v>46200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37570-2025</t>
        </is>
      </c>
      <c r="B40" s="1" t="n">
        <v>45880</v>
      </c>
      <c r="C40" s="1" t="n">
        <v>46200</v>
      </c>
      <c r="D40" t="inlineStr">
        <is>
          <t>VÄSTRA GÖTALANDS LÄN</t>
        </is>
      </c>
      <c r="E40" t="inlineStr">
        <is>
          <t>MÖLNDAL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21477-2025</t>
        </is>
      </c>
      <c r="B41" s="1" t="n">
        <v>45782</v>
      </c>
      <c r="C41" s="1" t="n">
        <v>46200</v>
      </c>
      <c r="D41" t="inlineStr">
        <is>
          <t>VÄSTRA GÖTALANDS LÄN</t>
        </is>
      </c>
      <c r="E41" t="inlineStr">
        <is>
          <t>MÖLNDAL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11256-2024</t>
        </is>
      </c>
      <c r="B42" s="1" t="n">
        <v>45371</v>
      </c>
      <c r="C42" s="1" t="n">
        <v>46200</v>
      </c>
      <c r="D42" t="inlineStr">
        <is>
          <t>VÄSTRA GÖTALANDS LÄN</t>
        </is>
      </c>
      <c r="E42" t="inlineStr">
        <is>
          <t>MÖLNDAL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12977-2025</t>
        </is>
      </c>
      <c r="B43" s="1" t="n">
        <v>45734</v>
      </c>
      <c r="C43" s="1" t="n">
        <v>46200</v>
      </c>
      <c r="D43" t="inlineStr">
        <is>
          <t>VÄSTRA GÖTALANDS LÄN</t>
        </is>
      </c>
      <c r="E43" t="inlineStr">
        <is>
          <t>MÖLNDAL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61178-2024</t>
        </is>
      </c>
      <c r="B44" s="1" t="n">
        <v>45645</v>
      </c>
      <c r="C44" s="1" t="n">
        <v>46200</v>
      </c>
      <c r="D44" t="inlineStr">
        <is>
          <t>VÄSTRA GÖTALANDS LÄN</t>
        </is>
      </c>
      <c r="E44" t="inlineStr">
        <is>
          <t>MÖLNDAL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10672-2026</t>
        </is>
      </c>
      <c r="B45" s="1" t="n">
        <v>46078</v>
      </c>
      <c r="C45" s="1" t="n">
        <v>46200</v>
      </c>
      <c r="D45" t="inlineStr">
        <is>
          <t>VÄSTRA GÖTALANDS LÄN</t>
        </is>
      </c>
      <c r="E45" t="inlineStr">
        <is>
          <t>MÖLNDAL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10661-2026</t>
        </is>
      </c>
      <c r="B46" s="1" t="n">
        <v>46078</v>
      </c>
      <c r="C46" s="1" t="n">
        <v>46200</v>
      </c>
      <c r="D46" t="inlineStr">
        <is>
          <t>VÄSTRA GÖTALANDS LÄN</t>
        </is>
      </c>
      <c r="E46" t="inlineStr">
        <is>
          <t>MÖLNDAL</t>
        </is>
      </c>
      <c r="F46" t="inlineStr">
        <is>
          <t>Kommuner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10654-2026</t>
        </is>
      </c>
      <c r="B47" s="1" t="n">
        <v>46078</v>
      </c>
      <c r="C47" s="1" t="n">
        <v>46200</v>
      </c>
      <c r="D47" t="inlineStr">
        <is>
          <t>VÄSTRA GÖTALANDS LÄN</t>
        </is>
      </c>
      <c r="E47" t="inlineStr">
        <is>
          <t>MÖLNDAL</t>
        </is>
      </c>
      <c r="F47" t="inlineStr">
        <is>
          <t>Kommuner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2026-06-27T00:53:42Z</dcterms:created>
  <dcterms:modified xmlns:dcterms="http://purl.org/dc/terms/" xmlns:xsi="http://www.w3.org/2001/XMLSchema-instance" xsi:type="dcterms:W3CDTF">2026-06-27T00:53:42Z</dcterms:modified>
</cp:coreProperties>
</file>