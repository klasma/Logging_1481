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46220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46220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46220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Klippfrullania
Trubbfjädermossa</t>
        </is>
      </c>
      <c r="V5">
        <f>HYPERLINK("https://klasma.github.io/Logging_1481/artfynd/A 49789-2023 artfynd.xlsx", "A 49789-2023")</f>
        <v/>
      </c>
      <c r="W5">
        <f>HYPERLINK("https://klasma.github.io/Logging_1481/kartor/A 49789-2023 karta.png", "A 49789-2023")</f>
        <v/>
      </c>
      <c r="Y5">
        <f>HYPERLINK("https://klasma.github.io/Logging_1481/klagomål/A 49789-2023 FSC-klagomål.docx", "A 49789-2023")</f>
        <v/>
      </c>
      <c r="Z5">
        <f>HYPERLINK("https://klasma.github.io/Logging_1481/klagomålsmail/A 49789-2023 FSC-klagomål mail.docx", "A 49789-2023")</f>
        <v/>
      </c>
      <c r="AA5">
        <f>HYPERLINK("https://klasma.github.io/Logging_1481/tillsyn/A 49789-2023 tillsynsbegäran.docx", "A 49789-2023")</f>
        <v/>
      </c>
      <c r="AB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46220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s="2" t="inlineStr">
        <is>
          <t>Spillkråka
Tjäder</t>
        </is>
      </c>
      <c r="V6">
        <f>HYPERLINK("https://klasma.github.io/Logging_1481/artfynd/A 62768-2025 artfynd.xlsx", "A 62768-2025")</f>
        <v/>
      </c>
      <c r="W6">
        <f>HYPERLINK("https://klasma.github.io/Logging_1481/kartor/A 62768-2025 karta.png", "A 62768-2025")</f>
        <v/>
      </c>
      <c r="Y6">
        <f>HYPERLINK("https://klasma.github.io/Logging_1481/klagomål/A 62768-2025 FSC-klagomål.docx", "A 62768-2025")</f>
        <v/>
      </c>
      <c r="Z6">
        <f>HYPERLINK("https://klasma.github.io/Logging_1481/klagomålsmail/A 62768-2025 FSC-klagomål mail.docx", "A 62768-2025")</f>
        <v/>
      </c>
      <c r="AA6">
        <f>HYPERLINK("https://klasma.github.io/Logging_1481/tillsyn/A 62768-2025 tillsynsbegäran.docx", "A 62768-2025")</f>
        <v/>
      </c>
      <c r="AB6">
        <f>HYPERLINK("https://klasma.github.io/Logging_1481/tillsynsmail/A 62768-2025 tillsynsbegäran mail.docx", "A 62768-2025")</f>
        <v/>
      </c>
      <c r="AC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46220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Duvhök
Spillkråka</t>
        </is>
      </c>
      <c r="V7">
        <f>HYPERLINK("https://klasma.github.io/Logging_1481/artfynd/A 393-2025 artfynd.xlsx", "A 393-2025")</f>
        <v/>
      </c>
      <c r="W7">
        <f>HYPERLINK("https://klasma.github.io/Logging_1481/kartor/A 393-2025 karta.png", "A 393-2025")</f>
        <v/>
      </c>
      <c r="Y7">
        <f>HYPERLINK("https://klasma.github.io/Logging_1481/klagomål/A 393-2025 FSC-klagomål.docx", "A 393-2025")</f>
        <v/>
      </c>
      <c r="Z7">
        <f>HYPERLINK("https://klasma.github.io/Logging_1481/klagomålsmail/A 393-2025 FSC-klagomål mail.docx", "A 393-2025")</f>
        <v/>
      </c>
      <c r="AA7">
        <f>HYPERLINK("https://klasma.github.io/Logging_1481/tillsyn/A 393-2025 tillsynsbegäran.docx", "A 393-2025")</f>
        <v/>
      </c>
      <c r="AB7">
        <f>HYPERLINK("https://klasma.github.io/Logging_1481/tillsynsmail/A 393-2025 tillsynsbegäran mail.docx", "A 393-2025")</f>
        <v/>
      </c>
      <c r="AC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46220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Duvhök
Tjäder</t>
        </is>
      </c>
      <c r="V8">
        <f>HYPERLINK("https://klasma.github.io/Logging_1481/artfynd/A 46384-2025 artfynd.xlsx", "A 46384-2025")</f>
        <v/>
      </c>
      <c r="W8">
        <f>HYPERLINK("https://klasma.github.io/Logging_1481/kartor/A 46384-2025 karta.png", "A 46384-2025")</f>
        <v/>
      </c>
      <c r="Y8">
        <f>HYPERLINK("https://klasma.github.io/Logging_1481/klagomål/A 46384-2025 FSC-klagomål.docx", "A 46384-2025")</f>
        <v/>
      </c>
      <c r="Z8">
        <f>HYPERLINK("https://klasma.github.io/Logging_1481/klagomålsmail/A 46384-2025 FSC-klagomål mail.docx", "A 46384-2025")</f>
        <v/>
      </c>
      <c r="AA8">
        <f>HYPERLINK("https://klasma.github.io/Logging_1481/tillsyn/A 46384-2025 tillsynsbegäran.docx", "A 46384-2025")</f>
        <v/>
      </c>
      <c r="AB8">
        <f>HYPERLINK("https://klasma.github.io/Logging_1481/tillsynsmail/A 46384-2025 tillsynsbegäran mail.docx", "A 46384-2025")</f>
        <v/>
      </c>
      <c r="AC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46220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46220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46220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Tjäder</t>
        </is>
      </c>
      <c r="V11">
        <f>HYPERLINK("https://klasma.github.io/Logging_1481/artfynd/A 2842-2025 artfynd.xlsx", "A 2842-2025")</f>
        <v/>
      </c>
      <c r="W11">
        <f>HYPERLINK("https://klasma.github.io/Logging_1481/kartor/A 2842-2025 karta.png", "A 2842-2025")</f>
        <v/>
      </c>
      <c r="Y11">
        <f>HYPERLINK("https://klasma.github.io/Logging_1481/klagomål/A 2842-2025 FSC-klagomål.docx", "A 2842-2025")</f>
        <v/>
      </c>
      <c r="Z11">
        <f>HYPERLINK("https://klasma.github.io/Logging_1481/klagomålsmail/A 2842-2025 FSC-klagomål mail.docx", "A 2842-2025")</f>
        <v/>
      </c>
      <c r="AA11">
        <f>HYPERLINK("https://klasma.github.io/Logging_1481/tillsyn/A 2842-2025 tillsynsbegäran.docx", "A 2842-2025")</f>
        <v/>
      </c>
      <c r="AB11">
        <f>HYPERLINK("https://klasma.github.io/Logging_1481/tillsynsmail/A 2842-2025 tillsynsbegäran mail.docx", "A 2842-2025")</f>
        <v/>
      </c>
      <c r="AC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46220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HYPERLINK("https://klasma.github.io/Logging_1481/artfynd/A 44926-2025 artfynd.xlsx", "A 44926-2025")</f>
        <v/>
      </c>
      <c r="W12">
        <f>HYPERLINK("https://klasma.github.io/Logging_1481/kartor/A 44926-2025 karta.png", "A 44926-2025")</f>
        <v/>
      </c>
      <c r="Y12">
        <f>HYPERLINK("https://klasma.github.io/Logging_1481/klagomål/A 44926-2025 FSC-klagomål.docx", "A 44926-2025")</f>
        <v/>
      </c>
      <c r="Z12">
        <f>HYPERLINK("https://klasma.github.io/Logging_1481/klagomålsmail/A 44926-2025 FSC-klagomål mail.docx", "A 44926-2025")</f>
        <v/>
      </c>
      <c r="AA12">
        <f>HYPERLINK("https://klasma.github.io/Logging_1481/tillsyn/A 44926-2025 tillsynsbegäran.docx", "A 44926-2025")</f>
        <v/>
      </c>
      <c r="AB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46220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Y13">
        <f>HYPERLINK("https://klasma.github.io/Logging_1481/klagomål/A 34574-2025 FSC-klagomål.docx", "A 34574-2025")</f>
        <v/>
      </c>
      <c r="Z13">
        <f>HYPERLINK("https://klasma.github.io/Logging_1481/klagomålsmail/A 34574-2025 FSC-klagomål mail.docx", "A 34574-2025")</f>
        <v/>
      </c>
      <c r="AA13">
        <f>HYPERLINK("https://klasma.github.io/Logging_1481/tillsyn/A 34574-2025 tillsynsbegäran.docx", "A 34574-2025")</f>
        <v/>
      </c>
      <c r="AB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46220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Y14">
        <f>HYPERLINK("https://klasma.github.io/Logging_1481/klagomål/A 6042-2024 FSC-klagomål.docx", "A 6042-2024")</f>
        <v/>
      </c>
      <c r="Z14">
        <f>HYPERLINK("https://klasma.github.io/Logging_1481/klagomålsmail/A 6042-2024 FSC-klagomål mail.docx", "A 6042-2024")</f>
        <v/>
      </c>
      <c r="AA14">
        <f>HYPERLINK("https://klasma.github.io/Logging_1481/tillsyn/A 6042-2024 tillsynsbegäran.docx", "A 6042-2024")</f>
        <v/>
      </c>
      <c r="AB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46220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Y15">
        <f>HYPERLINK("https://klasma.github.io/Logging_1481/klagomål/A 46379-2025 FSC-klagomål.docx", "A 46379-2025")</f>
        <v/>
      </c>
      <c r="Z15">
        <f>HYPERLINK("https://klasma.github.io/Logging_1481/klagomålsmail/A 46379-2025 FSC-klagomål mail.docx", "A 46379-2025")</f>
        <v/>
      </c>
      <c r="AA15">
        <f>HYPERLINK("https://klasma.github.io/Logging_1481/tillsyn/A 46379-2025 tillsynsbegäran.docx", "A 46379-2025")</f>
        <v/>
      </c>
      <c r="AB15">
        <f>HYPERLINK("https://klasma.github.io/Logging_1481/tillsynsmail/A 46379-2025 tillsynsbegäran mail.docx", "A 46379-2025")</f>
        <v/>
      </c>
      <c r="AC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46220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Y16">
        <f>HYPERLINK("https://klasma.github.io/Logging_1481/klagomål/A 48265-2025 FSC-klagomål.docx", "A 48265-2025")</f>
        <v/>
      </c>
      <c r="Z16">
        <f>HYPERLINK("https://klasma.github.io/Logging_1481/klagomålsmail/A 48265-2025 FSC-klagomål mail.docx", "A 48265-2025")</f>
        <v/>
      </c>
      <c r="AA16">
        <f>HYPERLINK("https://klasma.github.io/Logging_1481/tillsyn/A 48265-2025 tillsynsbegäran.docx", "A 48265-2025")</f>
        <v/>
      </c>
      <c r="AB16">
        <f>HYPERLINK("https://klasma.github.io/Logging_1481/tillsynsmail/A 48265-2025 tillsynsbegäran mail.docx", "A 48265-2025")</f>
        <v/>
      </c>
      <c r="AC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46220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46220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46220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46220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46220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46220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46220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46220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46220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46220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46220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10672-2026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46220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46220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61178-2024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46220</v>
      </c>
      <c r="F32" t="inlineStr">
        <is>
          <t>VÄSTRA GÖTALANDS LÄN</t>
        </is>
      </c>
      <c r="G32" t="inlineStr">
        <is>
          <t>MÖLNDAL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46220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46220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46220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46220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46220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45337</v>
      </c>
      <c r="E38" s="1" t="n">
        <v>46220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46220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46220</v>
      </c>
      <c r="F40" t="inlineStr">
        <is>
          <t>VÄSTRA GÖTALANDS LÄN</t>
        </is>
      </c>
      <c r="G40" t="inlineStr">
        <is>
          <t>MÖLNDAL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46220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11256-2024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46220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45084</v>
      </c>
      <c r="E43" s="1" t="n">
        <v>46220</v>
      </c>
      <c r="F43" t="inlineStr">
        <is>
          <t>VÄSTRA GÖTALANDS LÄN</t>
        </is>
      </c>
      <c r="G43" t="inlineStr">
        <is>
          <t>MÖLNDAL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46220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56133-2023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46220</v>
      </c>
      <c r="F45" t="inlineStr">
        <is>
          <t>VÄSTRA GÖTALANDS LÄN</t>
        </is>
      </c>
      <c r="G45" t="inlineStr">
        <is>
          <t>MÖLNDAL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46220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46220</v>
      </c>
      <c r="F47" t="inlineStr">
        <is>
          <t>VÄSTRA GÖTALANDS LÄN</t>
        </is>
      </c>
      <c r="G47" t="inlineStr">
        <is>
          <t>MÖLNDAL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46220</v>
      </c>
      <c r="F48" t="inlineStr">
        <is>
          <t>VÄSTRA GÖTALANDS LÄN</t>
        </is>
      </c>
      <c r="G48" t="inlineStr">
        <is>
          <t>MÖLNDAL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46220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46220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2026-07-17T01:41:52Z</dcterms:created>
  <dcterms:modified xmlns:dcterms="http://purl.org/dc/terms/" xmlns:xsi="http://www.w3.org/2001/XMLSchema-instance" xsi:type="dcterms:W3CDTF">2026-07-17T01:41:52Z</dcterms:modified>
</cp:coreProperties>
</file>