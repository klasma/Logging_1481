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46161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62768-2025</t>
        </is>
      </c>
      <c r="B3" s="1" t="n">
        <v>46008.59856481481</v>
      </c>
      <c r="C3" s="1" t="n">
        <v>46161</v>
      </c>
      <c r="D3" t="inlineStr">
        <is>
          <t>VÄSTRA GÖTALANDS LÄN</t>
        </is>
      </c>
      <c r="E3" t="inlineStr">
        <is>
          <t>MÖLNDAL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Tjäder</t>
        </is>
      </c>
      <c r="S3">
        <f>HYPERLINK("https://klasma.github.io/Logging_1481/artfynd/A 62768-2025 artfynd.xlsx", "A 62768-2025")</f>
        <v/>
      </c>
      <c r="T3">
        <f>HYPERLINK("https://klasma.github.io/Logging_1481/kartor/A 62768-2025 karta.png", "A 62768-2025")</f>
        <v/>
      </c>
      <c r="V3">
        <f>HYPERLINK("https://klasma.github.io/Logging_1481/klagomål/A 62768-2025 FSC-klagomål.docx", "A 62768-2025")</f>
        <v/>
      </c>
      <c r="W3">
        <f>HYPERLINK("https://klasma.github.io/Logging_1481/klagomålsmail/A 62768-2025 FSC-klagomål mail.docx", "A 62768-2025")</f>
        <v/>
      </c>
      <c r="X3">
        <f>HYPERLINK("https://klasma.github.io/Logging_1481/tillsyn/A 62768-2025 tillsynsbegäran.docx", "A 62768-2025")</f>
        <v/>
      </c>
      <c r="Y3">
        <f>HYPERLINK("https://klasma.github.io/Logging_1481/tillsynsmail/A 62768-2025 tillsynsbegäran mail.docx", "A 62768-2025")</f>
        <v/>
      </c>
      <c r="Z3">
        <f>HYPERLINK("https://klasma.github.io/Logging_1481/fåglar/A 62768-2025 prioriterade fågelarter.docx", "A 62768-2025")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46161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Rävticka
Trädporella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46161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46161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46161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2842-2025</t>
        </is>
      </c>
      <c r="B8" s="1" t="n">
        <v>45677</v>
      </c>
      <c r="C8" s="1" t="n">
        <v>46161</v>
      </c>
      <c r="D8" t="inlineStr">
        <is>
          <t>VÄSTRA GÖTALANDS LÄN</t>
        </is>
      </c>
      <c r="E8" t="inlineStr">
        <is>
          <t>MÖLNDAL</t>
        </is>
      </c>
      <c r="G8" t="n">
        <v>2.7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HYPERLINK("https://klasma.github.io/Logging_1481/artfynd/A 2842-2025 artfynd.xlsx", "A 2842-2025")</f>
        <v/>
      </c>
      <c r="T8">
        <f>HYPERLINK("https://klasma.github.io/Logging_1481/kartor/A 2842-2025 karta.png", "A 2842-2025")</f>
        <v/>
      </c>
      <c r="V8">
        <f>HYPERLINK("https://klasma.github.io/Logging_1481/klagomål/A 2842-2025 FSC-klagomål.docx", "A 2842-2025")</f>
        <v/>
      </c>
      <c r="W8">
        <f>HYPERLINK("https://klasma.github.io/Logging_1481/klagomålsmail/A 2842-2025 FSC-klagomål mail.docx", "A 2842-2025")</f>
        <v/>
      </c>
      <c r="X8">
        <f>HYPERLINK("https://klasma.github.io/Logging_1481/tillsyn/A 2842-2025 tillsynsbegäran.docx", "A 2842-2025")</f>
        <v/>
      </c>
      <c r="Y8">
        <f>HYPERLINK("https://klasma.github.io/Logging_1481/tillsynsmail/A 2842-2025 tillsynsbegäran mail.docx", "A 2842-2025")</f>
        <v/>
      </c>
      <c r="Z8">
        <f>HYPERLINK("https://klasma.github.io/Logging_1481/fåglar/A 2842-2025 prioriterade fågelarter.docx", "A 2842-2025")</f>
        <v/>
      </c>
    </row>
    <row r="9" ht="15" customHeight="1">
      <c r="A9" t="inlineStr">
        <is>
          <t>A 34574-2025</t>
        </is>
      </c>
      <c r="B9" s="1" t="n">
        <v>45847.59914351852</v>
      </c>
      <c r="C9" s="1" t="n">
        <v>46161</v>
      </c>
      <c r="D9" t="inlineStr">
        <is>
          <t>VÄSTRA GÖTALANDS LÄN</t>
        </is>
      </c>
      <c r="E9" t="inlineStr">
        <is>
          <t>MÖLNDAL</t>
        </is>
      </c>
      <c r="G9" t="n">
        <v>7.4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HYPERLINK("https://klasma.github.io/Logging_1481/artfynd/A 34574-2025 artfynd.xlsx", "A 34574-2025")</f>
        <v/>
      </c>
      <c r="T9">
        <f>HYPERLINK("https://klasma.github.io/Logging_1481/kartor/A 34574-2025 karta.png", "A 34574-2025")</f>
        <v/>
      </c>
      <c r="V9">
        <f>HYPERLINK("https://klasma.github.io/Logging_1481/klagomål/A 34574-2025 FSC-klagomål.docx", "A 34574-2025")</f>
        <v/>
      </c>
      <c r="W9">
        <f>HYPERLINK("https://klasma.github.io/Logging_1481/klagomålsmail/A 34574-2025 FSC-klagomål mail.docx", "A 34574-2025")</f>
        <v/>
      </c>
      <c r="X9">
        <f>HYPERLINK("https://klasma.github.io/Logging_1481/tillsyn/A 34574-2025 tillsynsbegäran.docx", "A 34574-2025")</f>
        <v/>
      </c>
      <c r="Y9">
        <f>HYPERLINK("https://klasma.github.io/Logging_1481/tillsynsmail/A 34574-2025 tillsynsbegäran mail.docx", "A 34574-2025")</f>
        <v/>
      </c>
    </row>
    <row r="10" ht="15" customHeight="1">
      <c r="A10" t="inlineStr">
        <is>
          <t>A 393-2025</t>
        </is>
      </c>
      <c r="B10" s="1" t="n">
        <v>45663</v>
      </c>
      <c r="C10" s="1" t="n">
        <v>46161</v>
      </c>
      <c r="D10" t="inlineStr">
        <is>
          <t>VÄSTRA GÖTALANDS LÄN</t>
        </is>
      </c>
      <c r="E10" t="inlineStr">
        <is>
          <t>MÖLNDAL</t>
        </is>
      </c>
      <c r="G10" t="n">
        <v>5.1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HYPERLINK("https://klasma.github.io/Logging_1481/artfynd/A 393-2025 artfynd.xlsx", "A 393-2025")</f>
        <v/>
      </c>
      <c r="T10">
        <f>HYPERLINK("https://klasma.github.io/Logging_1481/kartor/A 393-2025 karta.png", "A 393-2025")</f>
        <v/>
      </c>
      <c r="V10">
        <f>HYPERLINK("https://klasma.github.io/Logging_1481/klagomål/A 393-2025 FSC-klagomål.docx", "A 393-2025")</f>
        <v/>
      </c>
      <c r="W10">
        <f>HYPERLINK("https://klasma.github.io/Logging_1481/klagomålsmail/A 393-2025 FSC-klagomål mail.docx", "A 393-2025")</f>
        <v/>
      </c>
      <c r="X10">
        <f>HYPERLINK("https://klasma.github.io/Logging_1481/tillsyn/A 393-2025 tillsynsbegäran.docx", "A 393-2025")</f>
        <v/>
      </c>
      <c r="Y10">
        <f>HYPERLINK("https://klasma.github.io/Logging_1481/tillsynsmail/A 393-2025 tillsynsbegäran mail.docx", "A 393-2025")</f>
        <v/>
      </c>
      <c r="Z10">
        <f>HYPERLINK("https://klasma.github.io/Logging_1481/fåglar/A 393-2025 prioriterade fågelarter.docx", "A 393-2025")</f>
        <v/>
      </c>
    </row>
    <row r="11" ht="15" customHeight="1">
      <c r="A11" t="inlineStr">
        <is>
          <t>A 46384-2025</t>
        </is>
      </c>
      <c r="B11" s="1" t="n">
        <v>45925</v>
      </c>
      <c r="C11" s="1" t="n">
        <v>46161</v>
      </c>
      <c r="D11" t="inlineStr">
        <is>
          <t>VÄSTRA GÖTALANDS LÄN</t>
        </is>
      </c>
      <c r="E11" t="inlineStr">
        <is>
          <t>MÖLNDAL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HYPERLINK("https://klasma.github.io/Logging_1481/artfynd/A 46384-2025 artfynd.xlsx", "A 46384-2025")</f>
        <v/>
      </c>
      <c r="T11">
        <f>HYPERLINK("https://klasma.github.io/Logging_1481/kartor/A 46384-2025 karta.png", "A 46384-2025")</f>
        <v/>
      </c>
      <c r="V11">
        <f>HYPERLINK("https://klasma.github.io/Logging_1481/klagomål/A 46384-2025 FSC-klagomål.docx", "A 46384-2025")</f>
        <v/>
      </c>
      <c r="W11">
        <f>HYPERLINK("https://klasma.github.io/Logging_1481/klagomålsmail/A 46384-2025 FSC-klagomål mail.docx", "A 46384-2025")</f>
        <v/>
      </c>
      <c r="X11">
        <f>HYPERLINK("https://klasma.github.io/Logging_1481/tillsyn/A 46384-2025 tillsynsbegäran.docx", "A 46384-2025")</f>
        <v/>
      </c>
      <c r="Y11">
        <f>HYPERLINK("https://klasma.github.io/Logging_1481/tillsynsmail/A 46384-2025 tillsynsbegäran mail.docx", "A 46384-2025")</f>
        <v/>
      </c>
      <c r="Z11">
        <f>HYPERLINK("https://klasma.github.io/Logging_1481/fåglar/A 46384-2025 prioriterade fågelarter.docx", "A 46384-2025")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46161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46161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46161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46161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46161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46161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46161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46161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21477-2025</t>
        </is>
      </c>
      <c r="B20" s="1" t="n">
        <v>45782.59390046296</v>
      </c>
      <c r="C20" s="1" t="n">
        <v>46161</v>
      </c>
      <c r="D20" t="inlineStr">
        <is>
          <t>VÄSTRA GÖTALANDS LÄN</t>
        </is>
      </c>
      <c r="E20" t="inlineStr">
        <is>
          <t>MÖLNDAL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22033-2025</t>
        </is>
      </c>
      <c r="B21" s="1" t="n">
        <v>45785.29449074074</v>
      </c>
      <c r="C21" s="1" t="n">
        <v>46161</v>
      </c>
      <c r="D21" t="inlineStr">
        <is>
          <t>VÄSTRA GÖTALANDS LÄN</t>
        </is>
      </c>
      <c r="E21" t="inlineStr">
        <is>
          <t>MÖLNDAL</t>
        </is>
      </c>
      <c r="G21" t="n">
        <v>5.2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46161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46161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46161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46161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46161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46161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6042-2024</t>
        </is>
      </c>
      <c r="B28" s="1" t="n">
        <v>45336</v>
      </c>
      <c r="C28" s="1" t="n">
        <v>46161</v>
      </c>
      <c r="D28" t="inlineStr">
        <is>
          <t>VÄSTRA GÖTALANDS LÄN</t>
        </is>
      </c>
      <c r="E28" t="inlineStr">
        <is>
          <t>MÖLNDAL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37570-2025</t>
        </is>
      </c>
      <c r="B29" s="1" t="n">
        <v>45880.37358796296</v>
      </c>
      <c r="C29" s="1" t="n">
        <v>46161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22953-2023</t>
        </is>
      </c>
      <c r="B30" s="1" t="n">
        <v>45072</v>
      </c>
      <c r="C30" s="1" t="n">
        <v>46161</v>
      </c>
      <c r="D30" t="inlineStr">
        <is>
          <t>VÄSTRA GÖTALANDS LÄN</t>
        </is>
      </c>
      <c r="E30" t="inlineStr">
        <is>
          <t>MÖLNDAL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62804-2023</t>
        </is>
      </c>
      <c r="B31" s="1" t="n">
        <v>45271</v>
      </c>
      <c r="C31" s="1" t="n">
        <v>46161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61178-2024</t>
        </is>
      </c>
      <c r="B32" s="1" t="n">
        <v>45645</v>
      </c>
      <c r="C32" s="1" t="n">
        <v>46161</v>
      </c>
      <c r="D32" t="inlineStr">
        <is>
          <t>VÄSTRA GÖTALANDS LÄN</t>
        </is>
      </c>
      <c r="E32" t="inlineStr">
        <is>
          <t>MÖLNDAL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3811-2024</t>
        </is>
      </c>
      <c r="B33" s="1" t="n">
        <v>45321.673125</v>
      </c>
      <c r="C33" s="1" t="n">
        <v>46161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3676-2022</t>
        </is>
      </c>
      <c r="B34" s="1" t="n">
        <v>44586</v>
      </c>
      <c r="C34" s="1" t="n">
        <v>46161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6258-2024</t>
        </is>
      </c>
      <c r="B35" s="1" t="n">
        <v>45337.77947916667</v>
      </c>
      <c r="C35" s="1" t="n">
        <v>46161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88-2025</t>
        </is>
      </c>
      <c r="B36" s="1" t="n">
        <v>45659.46386574074</v>
      </c>
      <c r="C36" s="1" t="n">
        <v>46161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44977.95614583333</v>
      </c>
      <c r="C37" s="1" t="n">
        <v>46161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10672-2026</t>
        </is>
      </c>
      <c r="B38" s="1" t="n">
        <v>46078.40140046296</v>
      </c>
      <c r="C38" s="1" t="n">
        <v>46161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10661-2026</t>
        </is>
      </c>
      <c r="B39" s="1" t="n">
        <v>46078.37611111111</v>
      </c>
      <c r="C39" s="1" t="n">
        <v>46161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10654-2026</t>
        </is>
      </c>
      <c r="B40" s="1" t="n">
        <v>46078.35840277778</v>
      </c>
      <c r="C40" s="1" t="n">
        <v>46161</v>
      </c>
      <c r="D40" t="inlineStr">
        <is>
          <t>VÄSTRA GÖTALANDS LÄN</t>
        </is>
      </c>
      <c r="E40" t="inlineStr">
        <is>
          <t>MÖLNDAL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60809-2024</t>
        </is>
      </c>
      <c r="B41" s="1" t="n">
        <v>45644.61414351852</v>
      </c>
      <c r="C41" s="1" t="n">
        <v>46161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48265-2025</t>
        </is>
      </c>
      <c r="B42" s="1" t="n">
        <v>45933</v>
      </c>
      <c r="C42" s="1" t="n">
        <v>46161</v>
      </c>
      <c r="D42" t="inlineStr">
        <is>
          <t>VÄSTRA GÖTALANDS LÄN</t>
        </is>
      </c>
      <c r="E42" t="inlineStr">
        <is>
          <t>MÖLNDAL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46161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46379-2025</t>
        </is>
      </c>
      <c r="B44" s="1" t="n">
        <v>45925</v>
      </c>
      <c r="C44" s="1" t="n">
        <v>46161</v>
      </c>
      <c r="D44" t="inlineStr">
        <is>
          <t>VÄSTRA GÖTALANDS LÄN</t>
        </is>
      </c>
      <c r="E44" t="inlineStr">
        <is>
          <t>MÖLNDAL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46161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46161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46161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19295-2025</t>
        </is>
      </c>
      <c r="B48" s="1" t="n">
        <v>45769.56212962963</v>
      </c>
      <c r="C48" s="1" t="n">
        <v>46161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2026-05-19T10:54:58Z</dcterms:created>
  <dcterms:modified xmlns:dcterms="http://purl.org/dc/terms/" xmlns:xsi="http://www.w3.org/2001/XMLSchema-instance" xsi:type="dcterms:W3CDTF">2026-05-19T10:54:58Z</dcterms:modified>
</cp:coreProperties>
</file>