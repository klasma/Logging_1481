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46239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46239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46239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46239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46239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46239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46239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Duvhök
Spillkråka</t>
        </is>
      </c>
      <c r="W8">
        <f>HYPERLINK("https://klasma.github.io/Logging_1481/artfynd/A 393-2025 artfynd.xlsx", "A 393-2025")</f>
        <v/>
      </c>
      <c r="X8">
        <f>HYPERLINK("https://klasma.github.io/Logging_1481/kartor/A 393-2025 karta.png", "A 393-2025")</f>
        <v/>
      </c>
      <c r="Y8">
        <f>HYPERLINK("https://klasma.github.io/Logging_1481/kartor_geotiff/A 393-2025 georefererad karta.tif", "A 393-2025")</f>
        <v/>
      </c>
      <c r="AA8">
        <f>HYPERLINK("https://klasma.github.io/Logging_1481/klagomål/A 393-2025 FSC-klagomål.docx", "A 393-2025")</f>
        <v/>
      </c>
      <c r="AB8">
        <f>HYPERLINK("https://klasma.github.io/Logging_1481/klagomålsmail/A 393-2025 FSC-klagomål mail.docx", "A 393-2025")</f>
        <v/>
      </c>
      <c r="AC8">
        <f>HYPERLINK("https://klasma.github.io/Logging_1481/tillsyn/A 393-2025 tillsynsbegäran.docx", "A 393-2025")</f>
        <v/>
      </c>
      <c r="AD8">
        <f>HYPERLINK("https://klasma.github.io/Logging_1481/tillsynsmail/A 393-2025 tillsynsbegäran mail.docx", "A 393-2025")</f>
        <v/>
      </c>
      <c r="AE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46239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46239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46239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45847</v>
      </c>
      <c r="E12" s="1" t="n">
        <v>46239</v>
      </c>
      <c r="F12" t="inlineStr">
        <is>
          <t>VÄSTRA GÖTALANDS LÄN</t>
        </is>
      </c>
      <c r="G12" t="inlineStr">
        <is>
          <t>MÖLNDAL</t>
        </is>
      </c>
      <c r="I12" t="n">
        <v>7.4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Mattlummer</t>
        </is>
      </c>
      <c r="W12">
        <f>HYPERLINK("https://klasma.github.io/Logging_1481/artfynd/A 34574-2025 artfynd.xlsx", "A 34574-2025")</f>
        <v/>
      </c>
      <c r="X12">
        <f>HYPERLINK("https://klasma.github.io/Logging_1481/kartor/A 34574-2025 karta.png", "A 34574-2025")</f>
        <v/>
      </c>
      <c r="Y12">
        <f>HYPERLINK("https://klasma.github.io/Logging_1481/kartor_geotiff/A 34574-2025 georefererad karta.tif", "A 34574-2025")</f>
        <v/>
      </c>
      <c r="AA12">
        <f>HYPERLINK("https://klasma.github.io/Logging_1481/klagomål/A 34574-2025 FSC-klagomål.docx", "A 34574-2025")</f>
        <v/>
      </c>
      <c r="AB12">
        <f>HYPERLINK("https://klasma.github.io/Logging_1481/klagomålsmail/A 34574-2025 FSC-klagomål mail.docx", "A 34574-2025")</f>
        <v/>
      </c>
      <c r="AC12">
        <f>HYPERLINK("https://klasma.github.io/Logging_1481/tillsyn/A 34574-2025 tillsynsbegäran.docx", "A 34574-2025")</f>
        <v/>
      </c>
      <c r="AD12">
        <f>HYPERLINK("https://klasma.github.io/Logging_1481/tillsynsmail/A 34574-2025 tillsynsbegäran mail.docx", "A 34574-2025")</f>
        <v/>
      </c>
    </row>
    <row r="13" ht="15" customHeight="1">
      <c r="A13" t="inlineStr">
        <is>
          <t>A 6042-2024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45336</v>
      </c>
      <c r="E13" s="1" t="n">
        <v>46239</v>
      </c>
      <c r="F13" t="inlineStr">
        <is>
          <t>VÄSTRA GÖTALANDS LÄN</t>
        </is>
      </c>
      <c r="G13" t="inlineStr">
        <is>
          <t>MÖLNDAL</t>
        </is>
      </c>
      <c r="I13" t="n">
        <v>1.7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Guldlockmossa</t>
        </is>
      </c>
      <c r="W13">
        <f>HYPERLINK("https://klasma.github.io/Logging_1481/artfynd/A 6042-2024 artfynd.xlsx", "A 6042-2024")</f>
        <v/>
      </c>
      <c r="X13">
        <f>HYPERLINK("https://klasma.github.io/Logging_1481/kartor/A 6042-2024 karta.png", "A 6042-2024")</f>
        <v/>
      </c>
      <c r="Y13">
        <f>HYPERLINK("https://klasma.github.io/Logging_1481/kartor_geotiff/A 6042-2024 georefererad karta.tif", "A 6042-2024")</f>
        <v/>
      </c>
      <c r="AA13">
        <f>HYPERLINK("https://klasma.github.io/Logging_1481/klagomål/A 6042-2024 FSC-klagomål.docx", "A 6042-2024")</f>
        <v/>
      </c>
      <c r="AB13">
        <f>HYPERLINK("https://klasma.github.io/Logging_1481/klagomålsmail/A 6042-2024 FSC-klagomål mail.docx", "A 6042-2024")</f>
        <v/>
      </c>
      <c r="AC13">
        <f>HYPERLINK("https://klasma.github.io/Logging_1481/tillsyn/A 6042-2024 tillsynsbegäran.docx", "A 6042-2024")</f>
        <v/>
      </c>
      <c r="AD13">
        <f>HYPERLINK("https://klasma.github.io/Logging_1481/tillsynsmail/A 6042-2024 tillsynsbegäran mail.docx", "A 6042-2024")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46239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46239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23796-2026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46239</v>
      </c>
      <c r="F16" t="inlineStr">
        <is>
          <t>VÄSTRA GÖTALANDS LÄN</t>
        </is>
      </c>
      <c r="G16" t="inlineStr">
        <is>
          <t>MÖLNDAL</t>
        </is>
      </c>
      <c r="I16" t="n">
        <v>3.6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Tjäder</t>
        </is>
      </c>
      <c r="W16">
        <f>HYPERLINK("https://klasma.github.io/Logging_1481/artfynd/A 23796-2026 artfynd.xlsx", "A 23796-2026")</f>
        <v/>
      </c>
      <c r="X16">
        <f>HYPERLINK("https://klasma.github.io/Logging_1481/kartor/A 23796-2026 karta.png", "A 23796-2026")</f>
        <v/>
      </c>
      <c r="Y16">
        <f>HYPERLINK("https://klasma.github.io/Logging_1481/kartor_geotiff/A 23796-2026 georefererad karta.tif", "A 23796-2026")</f>
        <v/>
      </c>
      <c r="AA16">
        <f>HYPERLINK("https://klasma.github.io/Logging_1481/klagomål/A 23796-2026 FSC-klagomål.docx", "A 23796-2026")</f>
        <v/>
      </c>
      <c r="AB16">
        <f>HYPERLINK("https://klasma.github.io/Logging_1481/klagomålsmail/A 23796-2026 FSC-klagomål mail.docx", "A 23796-2026")</f>
        <v/>
      </c>
      <c r="AC16">
        <f>HYPERLINK("https://klasma.github.io/Logging_1481/tillsyn/A 23796-2026 tillsynsbegäran.docx", "A 23796-2026")</f>
        <v/>
      </c>
      <c r="AD16">
        <f>HYPERLINK("https://klasma.github.io/Logging_1481/tillsynsmail/A 23796-2026 tillsynsbegäran mail.docx", "A 23796-2026")</f>
        <v/>
      </c>
      <c r="AE16">
        <f>HYPERLINK("https://klasma.github.io/Logging_1481/fåglar/A 23796-2026 prioriterade fågelarter.docx", "A 23796-2026")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46239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51537-2021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46239</v>
      </c>
      <c r="F20" t="inlineStr">
        <is>
          <t>VÄSTRA GÖTALANDS LÄN</t>
        </is>
      </c>
      <c r="G20" t="inlineStr">
        <is>
          <t>MÖLNDAL</t>
        </is>
      </c>
      <c r="I20" t="n">
        <v>7.2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46239</v>
      </c>
      <c r="F22" t="inlineStr">
        <is>
          <t>VÄSTRA GÖTALANDS LÄN</t>
        </is>
      </c>
      <c r="G22" t="inlineStr">
        <is>
          <t>MÖLNDAL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46239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46239</v>
      </c>
      <c r="F24" t="inlineStr">
        <is>
          <t>VÄSTRA GÖTALANDS LÄN</t>
        </is>
      </c>
      <c r="G24" t="inlineStr">
        <is>
          <t>MÖLNDAL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46239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11256-2024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46239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46239</v>
      </c>
      <c r="F27" t="inlineStr">
        <is>
          <t>VÄSTRA GÖTALANDS LÄN</t>
        </is>
      </c>
      <c r="G27" t="inlineStr">
        <is>
          <t>MÖLNDAL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46239</v>
      </c>
      <c r="F28" t="inlineStr">
        <is>
          <t>VÄSTRA GÖTALANDS LÄN</t>
        </is>
      </c>
      <c r="G28" t="inlineStr">
        <is>
          <t>MÖLNDAL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46239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24771-2023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45084</v>
      </c>
      <c r="E30" s="1" t="n">
        <v>46239</v>
      </c>
      <c r="F30" t="inlineStr">
        <is>
          <t>VÄSTRA GÖTALANDS LÄN</t>
        </is>
      </c>
      <c r="G30" t="inlineStr">
        <is>
          <t>MÖLNDAL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46239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45880</v>
      </c>
      <c r="E32" s="1" t="n">
        <v>46239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46239</v>
      </c>
      <c r="F33" t="inlineStr">
        <is>
          <t>VÄSTRA GÖTALANDS LÄN</t>
        </is>
      </c>
      <c r="G33" t="inlineStr">
        <is>
          <t>MÖLNDAL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45734</v>
      </c>
      <c r="E34" s="1" t="n">
        <v>46239</v>
      </c>
      <c r="F34" t="inlineStr">
        <is>
          <t>VÄSTRA GÖTALANDS LÄN</t>
        </is>
      </c>
      <c r="G34" t="inlineStr">
        <is>
          <t>MÖLNDAL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60809-2024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46239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46239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45072</v>
      </c>
      <c r="E37" s="1" t="n">
        <v>46239</v>
      </c>
      <c r="F37" t="inlineStr">
        <is>
          <t>VÄSTRA GÖTALANDS LÄN</t>
        </is>
      </c>
      <c r="G37" t="inlineStr">
        <is>
          <t>MÖLNDAL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45659</v>
      </c>
      <c r="E38" s="1" t="n">
        <v>46239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46239</v>
      </c>
      <c r="F39" t="inlineStr">
        <is>
          <t>VÄSTRA GÖTALANDS LÄN</t>
        </is>
      </c>
      <c r="G39" t="inlineStr">
        <is>
          <t>MÖLNDAL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61178-2024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46239</v>
      </c>
      <c r="F40" t="inlineStr">
        <is>
          <t>VÄSTRA GÖTALANDS LÄN</t>
        </is>
      </c>
      <c r="G40" t="inlineStr">
        <is>
          <t>MÖLNDAL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46230</v>
      </c>
      <c r="E41" s="1" t="n">
        <v>46239</v>
      </c>
      <c r="F41" t="inlineStr">
        <is>
          <t>VÄSTRA GÖTALANDS LÄN</t>
        </is>
      </c>
      <c r="G41" t="inlineStr">
        <is>
          <t>MÖLNDAL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46239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46239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46239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46239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45567</v>
      </c>
      <c r="E46" s="1" t="n">
        <v>46239</v>
      </c>
      <c r="F46" t="inlineStr">
        <is>
          <t>VÄSTRA GÖTALANDS LÄN</t>
        </is>
      </c>
      <c r="G46" t="inlineStr">
        <is>
          <t>MÖLNDAL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45441</v>
      </c>
      <c r="E47" s="1" t="n">
        <v>46239</v>
      </c>
      <c r="F47" t="inlineStr">
        <is>
          <t>VÄSTRA GÖTALANDS LÄN</t>
        </is>
      </c>
      <c r="G47" t="inlineStr">
        <is>
          <t>MÖLNDAL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56133-2023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46239</v>
      </c>
      <c r="F48" t="inlineStr">
        <is>
          <t>VÄSTRA GÖTALANDS LÄN</t>
        </is>
      </c>
      <c r="G48" t="inlineStr">
        <is>
          <t>MÖLNDAL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46239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46239</v>
      </c>
      <c r="F50" t="inlineStr">
        <is>
          <t>VÄSTRA GÖTALANDS LÄN</t>
        </is>
      </c>
      <c r="G50" t="inlineStr">
        <is>
          <t>MÖLNDAL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46239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46239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2026-08-05T20:40:13Z</dcterms:created>
  <dcterms:modified xmlns:dcterms="http://purl.org/dc/terms/" xmlns:xsi="http://www.w3.org/2001/XMLSchema-instance" xsi:type="dcterms:W3CDTF">2026-08-05T20:40:13Z</dcterms:modified>
</cp:coreProperties>
</file>