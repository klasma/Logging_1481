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45826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45826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45826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65714-2021</t>
        </is>
      </c>
      <c r="B5" s="1" t="n">
        <v>44516</v>
      </c>
      <c r="C5" s="1" t="n">
        <v>45826</v>
      </c>
      <c r="D5" t="inlineStr">
        <is>
          <t>VÄSTRA GÖTALANDS LÄN</t>
        </is>
      </c>
      <c r="E5" t="inlineStr">
        <is>
          <t>MÖLNDAL</t>
        </is>
      </c>
      <c r="F5" t="inlineStr">
        <is>
          <t>Kommuner</t>
        </is>
      </c>
      <c r="G5" t="n">
        <v>29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Tjäder</t>
        </is>
      </c>
      <c r="S5">
        <f>HYPERLINK("https://klasma.github.io/Logging_1481/artfynd/A 65714-2021 artfynd.xlsx", "A 65714-2021")</f>
        <v/>
      </c>
      <c r="T5">
        <f>HYPERLINK("https://klasma.github.io/Logging_1481/kartor/A 65714-2021 karta.png", "A 65714-2021")</f>
        <v/>
      </c>
      <c r="V5">
        <f>HYPERLINK("https://klasma.github.io/Logging_1481/klagomål/A 65714-2021 FSC-klagomål.docx", "A 65714-2021")</f>
        <v/>
      </c>
      <c r="W5">
        <f>HYPERLINK("https://klasma.github.io/Logging_1481/klagomålsmail/A 65714-2021 FSC-klagomål mail.docx", "A 65714-2021")</f>
        <v/>
      </c>
      <c r="X5">
        <f>HYPERLINK("https://klasma.github.io/Logging_1481/tillsyn/A 65714-2021 tillsynsbegäran.docx", "A 65714-2021")</f>
        <v/>
      </c>
      <c r="Y5">
        <f>HYPERLINK("https://klasma.github.io/Logging_1481/tillsynsmail/A 65714-2021 tillsynsbegäran mail.docx", "A 65714-2021")</f>
        <v/>
      </c>
      <c r="Z5">
        <f>HYPERLINK("https://klasma.github.io/Logging_1481/fåglar/A 65714-2021 prioriterade fågelarter.docx", "A 65714-2021")</f>
        <v/>
      </c>
    </row>
    <row r="6" ht="15" customHeight="1">
      <c r="A6" t="inlineStr">
        <is>
          <t>A 73714-2021</t>
        </is>
      </c>
      <c r="B6" s="1" t="n">
        <v>44551</v>
      </c>
      <c r="C6" s="1" t="n">
        <v>45826</v>
      </c>
      <c r="D6" t="inlineStr">
        <is>
          <t>VÄSTRA GÖTALANDS LÄN</t>
        </is>
      </c>
      <c r="E6" t="inlineStr">
        <is>
          <t>MÖLNDAL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HYPERLINK("https://klasma.github.io/Logging_1481/artfynd/A 73714-2021 artfynd.xlsx", "A 73714-2021")</f>
        <v/>
      </c>
      <c r="T6">
        <f>HYPERLINK("https://klasma.github.io/Logging_1481/kartor/A 73714-2021 karta.png", "A 73714-2021")</f>
        <v/>
      </c>
      <c r="V6">
        <f>HYPERLINK("https://klasma.github.io/Logging_1481/klagomål/A 73714-2021 FSC-klagomål.docx", "A 73714-2021")</f>
        <v/>
      </c>
      <c r="W6">
        <f>HYPERLINK("https://klasma.github.io/Logging_1481/klagomålsmail/A 73714-2021 FSC-klagomål mail.docx", "A 73714-2021")</f>
        <v/>
      </c>
      <c r="X6">
        <f>HYPERLINK("https://klasma.github.io/Logging_1481/tillsyn/A 73714-2021 tillsynsbegäran.docx", "A 73714-2021")</f>
        <v/>
      </c>
      <c r="Y6">
        <f>HYPERLINK("https://klasma.github.io/Logging_1481/tillsynsmail/A 73714-2021 tillsynsbegäran mail.docx", "A 73714-2021")</f>
        <v/>
      </c>
    </row>
    <row r="7" ht="15" customHeight="1">
      <c r="A7" t="inlineStr">
        <is>
          <t>A 49789-2023</t>
        </is>
      </c>
      <c r="B7" s="1" t="n">
        <v>45212</v>
      </c>
      <c r="C7" s="1" t="n">
        <v>45826</v>
      </c>
      <c r="D7" t="inlineStr">
        <is>
          <t>VÄSTRA GÖTALANDS LÄN</t>
        </is>
      </c>
      <c r="E7" t="inlineStr">
        <is>
          <t>MÖLNDAL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Trubbfjädermossa</t>
        </is>
      </c>
      <c r="S7">
        <f>HYPERLINK("https://klasma.github.io/Logging_1481/artfynd/A 49789-2023 artfynd.xlsx", "A 49789-2023")</f>
        <v/>
      </c>
      <c r="T7">
        <f>HYPERLINK("https://klasma.github.io/Logging_1481/kartor/A 49789-2023 karta.png", "A 49789-2023")</f>
        <v/>
      </c>
      <c r="V7">
        <f>HYPERLINK("https://klasma.github.io/Logging_1481/klagomål/A 49789-2023 FSC-klagomål.docx", "A 49789-2023")</f>
        <v/>
      </c>
      <c r="W7">
        <f>HYPERLINK("https://klasma.github.io/Logging_1481/klagomålsmail/A 49789-2023 FSC-klagomål mail.docx", "A 49789-2023")</f>
        <v/>
      </c>
      <c r="X7">
        <f>HYPERLINK("https://klasma.github.io/Logging_1481/tillsyn/A 49789-2023 tillsynsbegäran.docx", "A 49789-2023")</f>
        <v/>
      </c>
      <c r="Y7">
        <f>HYPERLINK("https://klasma.github.io/Logging_1481/tillsynsmail/A 49789-2023 tillsynsbegäran mail.docx", "A 49789-2023")</f>
        <v/>
      </c>
    </row>
    <row r="8" ht="15" customHeight="1">
      <c r="A8" t="inlineStr">
        <is>
          <t>A 28183-2019</t>
        </is>
      </c>
      <c r="B8" s="1" t="n">
        <v>43621</v>
      </c>
      <c r="C8" s="1" t="n">
        <v>45826</v>
      </c>
      <c r="D8" t="inlineStr">
        <is>
          <t>VÄSTRA GÖTALANDS LÄN</t>
        </is>
      </c>
      <c r="E8" t="inlineStr">
        <is>
          <t>MÖLNDAL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46051-2019</t>
        </is>
      </c>
      <c r="B9" s="1" t="n">
        <v>43718</v>
      </c>
      <c r="C9" s="1" t="n">
        <v>45826</v>
      </c>
      <c r="D9" t="inlineStr">
        <is>
          <t>VÄSTRA GÖTALANDS LÄN</t>
        </is>
      </c>
      <c r="E9" t="inlineStr">
        <is>
          <t>MÖLNDAL</t>
        </is>
      </c>
      <c r="F9" t="inlineStr">
        <is>
          <t>Kyrkan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50715-2019</t>
        </is>
      </c>
      <c r="B10" s="1" t="n">
        <v>43738</v>
      </c>
      <c r="C10" s="1" t="n">
        <v>45826</v>
      </c>
      <c r="D10" t="inlineStr">
        <is>
          <t>VÄSTRA GÖTALANDS LÄN</t>
        </is>
      </c>
      <c r="E10" t="inlineStr">
        <is>
          <t>MÖLNDAL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58315-2019</t>
        </is>
      </c>
      <c r="B11" s="1" t="n">
        <v>43770</v>
      </c>
      <c r="C11" s="1" t="n">
        <v>45826</v>
      </c>
      <c r="D11" t="inlineStr">
        <is>
          <t>VÄSTRA GÖTALANDS LÄN</t>
        </is>
      </c>
      <c r="E11" t="inlineStr">
        <is>
          <t>MÖLNDAL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58384-2019</t>
        </is>
      </c>
      <c r="B12" s="1" t="n">
        <v>43771</v>
      </c>
      <c r="C12" s="1" t="n">
        <v>45826</v>
      </c>
      <c r="D12" t="inlineStr">
        <is>
          <t>VÄSTRA GÖTALANDS LÄN</t>
        </is>
      </c>
      <c r="E12" t="inlineStr">
        <is>
          <t>MÖLNDAL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60832-2019</t>
        </is>
      </c>
      <c r="B13" s="1" t="n">
        <v>43781</v>
      </c>
      <c r="C13" s="1" t="n">
        <v>45826</v>
      </c>
      <c r="D13" t="inlineStr">
        <is>
          <t>VÄSTRA GÖTALANDS LÄN</t>
        </is>
      </c>
      <c r="E13" t="inlineStr">
        <is>
          <t>MÖLNDAL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62403-2019</t>
        </is>
      </c>
      <c r="B14" s="1" t="n">
        <v>43788</v>
      </c>
      <c r="C14" s="1" t="n">
        <v>45826</v>
      </c>
      <c r="D14" t="inlineStr">
        <is>
          <t>VÄSTRA GÖTALANDS LÄN</t>
        </is>
      </c>
      <c r="E14" t="inlineStr">
        <is>
          <t>MÖLNDAL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2736-2020</t>
        </is>
      </c>
      <c r="B15" s="1" t="n">
        <v>43850</v>
      </c>
      <c r="C15" s="1" t="n">
        <v>45826</v>
      </c>
      <c r="D15" t="inlineStr">
        <is>
          <t>VÄSTRA GÖTALANDS LÄN</t>
        </is>
      </c>
      <c r="E15" t="inlineStr">
        <is>
          <t>MÖLNDAL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3789-2020</t>
        </is>
      </c>
      <c r="B16" s="1" t="n">
        <v>43854</v>
      </c>
      <c r="C16" s="1" t="n">
        <v>45826</v>
      </c>
      <c r="D16" t="inlineStr">
        <is>
          <t>VÄSTRA GÖTALANDS LÄN</t>
        </is>
      </c>
      <c r="E16" t="inlineStr">
        <is>
          <t>MÖLNDAL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16065-2020</t>
        </is>
      </c>
      <c r="B17" s="1" t="n">
        <v>43916</v>
      </c>
      <c r="C17" s="1" t="n">
        <v>45826</v>
      </c>
      <c r="D17" t="inlineStr">
        <is>
          <t>VÄSTRA GÖTALANDS LÄN</t>
        </is>
      </c>
      <c r="E17" t="inlineStr">
        <is>
          <t>MÖLNDAL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29602-2020</t>
        </is>
      </c>
      <c r="B18" s="1" t="n">
        <v>44005</v>
      </c>
      <c r="C18" s="1" t="n">
        <v>45826</v>
      </c>
      <c r="D18" t="inlineStr">
        <is>
          <t>VÄSTRA GÖTALANDS LÄN</t>
        </is>
      </c>
      <c r="E18" t="inlineStr">
        <is>
          <t>MÖLNDAL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34867-2020</t>
        </is>
      </c>
      <c r="B19" s="1" t="n">
        <v>44036</v>
      </c>
      <c r="C19" s="1" t="n">
        <v>45826</v>
      </c>
      <c r="D19" t="inlineStr">
        <is>
          <t>VÄSTRA GÖTALANDS LÄN</t>
        </is>
      </c>
      <c r="E19" t="inlineStr">
        <is>
          <t>MÖLNDAL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38526-2020</t>
        </is>
      </c>
      <c r="B20" s="1" t="n">
        <v>44061</v>
      </c>
      <c r="C20" s="1" t="n">
        <v>45826</v>
      </c>
      <c r="D20" t="inlineStr">
        <is>
          <t>VÄSTRA GÖTALANDS LÄN</t>
        </is>
      </c>
      <c r="E20" t="inlineStr">
        <is>
          <t>MÖLNDAL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63883-2020</t>
        </is>
      </c>
      <c r="B21" s="1" t="n">
        <v>44166</v>
      </c>
      <c r="C21" s="1" t="n">
        <v>45826</v>
      </c>
      <c r="D21" t="inlineStr">
        <is>
          <t>VÄSTRA GÖTALANDS LÄN</t>
        </is>
      </c>
      <c r="E21" t="inlineStr">
        <is>
          <t>MÖLNDAL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4359-2021</t>
        </is>
      </c>
      <c r="B22" s="1" t="n">
        <v>44223</v>
      </c>
      <c r="C22" s="1" t="n">
        <v>45826</v>
      </c>
      <c r="D22" t="inlineStr">
        <is>
          <t>VÄSTRA GÖTALANDS LÄN</t>
        </is>
      </c>
      <c r="E22" t="inlineStr">
        <is>
          <t>MÖLNDAL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4336-2021</t>
        </is>
      </c>
      <c r="B23" s="1" t="n">
        <v>44223</v>
      </c>
      <c r="C23" s="1" t="n">
        <v>45826</v>
      </c>
      <c r="D23" t="inlineStr">
        <is>
          <t>VÄSTRA GÖTALANDS LÄN</t>
        </is>
      </c>
      <c r="E23" t="inlineStr">
        <is>
          <t>MÖLNDAL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21842-2021</t>
        </is>
      </c>
      <c r="B24" s="1" t="n">
        <v>44322</v>
      </c>
      <c r="C24" s="1" t="n">
        <v>45826</v>
      </c>
      <c r="D24" t="inlineStr">
        <is>
          <t>VÄSTRA GÖTALANDS LÄN</t>
        </is>
      </c>
      <c r="E24" t="inlineStr">
        <is>
          <t>MÖLNDAL</t>
        </is>
      </c>
      <c r="F24" t="inlineStr">
        <is>
          <t>Kommuner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51537-2021</t>
        </is>
      </c>
      <c r="B25" s="1" t="n">
        <v>44462</v>
      </c>
      <c r="C25" s="1" t="n">
        <v>45826</v>
      </c>
      <c r="D25" t="inlineStr">
        <is>
          <t>VÄSTRA GÖTALANDS LÄN</t>
        </is>
      </c>
      <c r="E25" t="inlineStr">
        <is>
          <t>MÖLNDAL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65698-2021</t>
        </is>
      </c>
      <c r="B26" s="1" t="n">
        <v>44516</v>
      </c>
      <c r="C26" s="1" t="n">
        <v>45826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45826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45826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45826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45826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45826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45826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45826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45826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45826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45826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45826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45826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45826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45826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45826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45826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45826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45826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45826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45826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45826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45826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45826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45826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45826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45826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45826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45826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45826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45826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45826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45826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45826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45826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45826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45826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12977-2025</t>
        </is>
      </c>
      <c r="B63" s="1" t="n">
        <v>45734</v>
      </c>
      <c r="C63" s="1" t="n">
        <v>45826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19295-2025</t>
        </is>
      </c>
      <c r="B64" s="1" t="n">
        <v>45769</v>
      </c>
      <c r="C64" s="1" t="n">
        <v>45826</v>
      </c>
      <c r="D64" t="inlineStr">
        <is>
          <t>VÄSTRA GÖTALANDS LÄN</t>
        </is>
      </c>
      <c r="E64" t="inlineStr">
        <is>
          <t>MÖLNDAL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21477-2025</t>
        </is>
      </c>
      <c r="B65" s="1" t="n">
        <v>45782</v>
      </c>
      <c r="C65" s="1" t="n">
        <v>45826</v>
      </c>
      <c r="D65" t="inlineStr">
        <is>
          <t>VÄSTRA GÖTALANDS LÄN</t>
        </is>
      </c>
      <c r="E65" t="inlineStr">
        <is>
          <t>MÖLNDAL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>
      <c r="A66" t="inlineStr">
        <is>
          <t>A 22033-2025</t>
        </is>
      </c>
      <c r="B66" s="1" t="n">
        <v>45785</v>
      </c>
      <c r="C66" s="1" t="n">
        <v>45826</v>
      </c>
      <c r="D66" t="inlineStr">
        <is>
          <t>VÄSTRA GÖTALANDS LÄN</t>
        </is>
      </c>
      <c r="E66" t="inlineStr">
        <is>
          <t>MÖLNDAL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2025-06-18T18:48:32Z</dcterms:created>
  <dcterms:modified xmlns:dcterms="http://purl.org/dc/terms/" xmlns:xsi="http://www.w3.org/2001/XMLSchema-instance" xsi:type="dcterms:W3CDTF">2025-06-18T18:48:32Z</dcterms:modified>
</cp:coreProperties>
</file>