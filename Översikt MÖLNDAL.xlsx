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46233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46233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46233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46233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Duvhök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46233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46233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46233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46233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46233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46233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46233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46233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46233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48265-2025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45933</v>
      </c>
      <c r="E15" s="1" t="n">
        <v>46233</v>
      </c>
      <c r="F15" t="inlineStr">
        <is>
          <t>VÄSTRA GÖTALANDS LÄN</t>
        </is>
      </c>
      <c r="G15" t="inlineStr">
        <is>
          <t>MÖLNDAL</t>
        </is>
      </c>
      <c r="I15" t="n">
        <v>2.1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48265-2025 artfynd.xlsx", "A 48265-2025")</f>
        <v/>
      </c>
      <c r="X15">
        <f>HYPERLINK("https://klasma.github.io/Logging_1481/kartor/A 48265-2025 karta.png", "A 48265-2025")</f>
        <v/>
      </c>
      <c r="Y15">
        <f>HYPERLINK("https://klasma.github.io/Logging_1481/kartor_geotiff/A 48265-2025 georefererad karta.tif", "A 48265-2025")</f>
        <v/>
      </c>
      <c r="AA15">
        <f>HYPERLINK("https://klasma.github.io/Logging_1481/klagomål/A 48265-2025 FSC-klagomål.docx", "A 48265-2025")</f>
        <v/>
      </c>
      <c r="AB15">
        <f>HYPERLINK("https://klasma.github.io/Logging_1481/klagomålsmail/A 48265-2025 FSC-klagomål mail.docx", "A 48265-2025")</f>
        <v/>
      </c>
      <c r="AC15">
        <f>HYPERLINK("https://klasma.github.io/Logging_1481/tillsyn/A 48265-2025 tillsynsbegäran.docx", "A 48265-2025")</f>
        <v/>
      </c>
      <c r="AD15">
        <f>HYPERLINK("https://klasma.github.io/Logging_1481/tillsynsmail/A 48265-2025 tillsynsbegäran mail.docx", "A 48265-2025")</f>
        <v/>
      </c>
      <c r="AE15">
        <f>HYPERLINK("https://klasma.github.io/Logging_1481/fåglar/A 48265-2025 prioriterade fågelarter.docx", "A 48265-2025")</f>
        <v/>
      </c>
    </row>
    <row r="16" ht="15" customHeight="1">
      <c r="A16" t="inlineStr">
        <is>
          <t>A 23796-2026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46233</v>
      </c>
      <c r="F16" t="inlineStr">
        <is>
          <t>VÄSTRA GÖTALANDS LÄN</t>
        </is>
      </c>
      <c r="G16" t="inlineStr">
        <is>
          <t>MÖLNDAL</t>
        </is>
      </c>
      <c r="I16" t="n">
        <v>3.6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Tjäder</t>
        </is>
      </c>
      <c r="W16">
        <f>HYPERLINK("https://klasma.github.io/Logging_1481/artfynd/A 23796-2026 artfynd.xlsx", "A 23796-2026")</f>
        <v/>
      </c>
      <c r="X16">
        <f>HYPERLINK("https://klasma.github.io/Logging_1481/kartor/A 23796-2026 karta.png", "A 23796-2026")</f>
        <v/>
      </c>
      <c r="Y16">
        <f>HYPERLINK("https://klasma.github.io/Logging_1481/kartor_geotiff/A 23796-2026 georefererad karta.tif", "A 23796-2026")</f>
        <v/>
      </c>
      <c r="AA16">
        <f>HYPERLINK("https://klasma.github.io/Logging_1481/klagomål/A 23796-2026 FSC-klagomål.docx", "A 23796-2026")</f>
        <v/>
      </c>
      <c r="AB16">
        <f>HYPERLINK("https://klasma.github.io/Logging_1481/klagomålsmail/A 23796-2026 FSC-klagomål mail.docx", "A 23796-2026")</f>
        <v/>
      </c>
      <c r="AC16">
        <f>HYPERLINK("https://klasma.github.io/Logging_1481/tillsyn/A 23796-2026 tillsynsbegäran.docx", "A 23796-2026")</f>
        <v/>
      </c>
      <c r="AD16">
        <f>HYPERLINK("https://klasma.github.io/Logging_1481/tillsynsmail/A 23796-2026 tillsynsbegäran mail.docx", "A 23796-2026")</f>
        <v/>
      </c>
      <c r="AE16">
        <f>HYPERLINK("https://klasma.github.io/Logging_1481/fåglar/A 23796-2026 prioriterade fågelarter.docx", "A 23796-2026")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46233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46233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46233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46233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46233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46233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46233</v>
      </c>
      <c r="F26" t="inlineStr">
        <is>
          <t>VÄSTRA GÖTALANDS LÄN</t>
        </is>
      </c>
      <c r="G26" t="inlineStr">
        <is>
          <t>MÖLNDAL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46233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46233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46233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46233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46233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46233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46233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46233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46233</v>
      </c>
      <c r="F35" t="inlineStr">
        <is>
          <t>VÄSTRA GÖTALANDS LÄN</t>
        </is>
      </c>
      <c r="G35" t="inlineStr">
        <is>
          <t>MÖLNDAL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46233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46233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46233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46233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46233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46233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46233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46233</v>
      </c>
      <c r="F43" t="inlineStr">
        <is>
          <t>VÄSTRA GÖTALANDS LÄN</t>
        </is>
      </c>
      <c r="G43" t="inlineStr">
        <is>
          <t>MÖLNDAL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44586</v>
      </c>
      <c r="E44" s="1" t="n">
        <v>46233</v>
      </c>
      <c r="F44" t="inlineStr">
        <is>
          <t>VÄSTRA GÖTALANDS LÄN</t>
        </is>
      </c>
      <c r="G44" t="inlineStr">
        <is>
          <t>MÖLNDAL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46233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21477-2025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45782</v>
      </c>
      <c r="E46" s="1" t="n">
        <v>46233</v>
      </c>
      <c r="F46" t="inlineStr">
        <is>
          <t>VÄSTRA GÖTALANDS LÄN</t>
        </is>
      </c>
      <c r="G46" t="inlineStr">
        <is>
          <t>MÖLNDAL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46233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46230</v>
      </c>
      <c r="E48" s="1" t="n">
        <v>46233</v>
      </c>
      <c r="F48" t="inlineStr">
        <is>
          <t>VÄSTRA GÖTALANDS LÄN</t>
        </is>
      </c>
      <c r="G48" t="inlineStr">
        <is>
          <t>MÖLNDAL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62804-2023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45271</v>
      </c>
      <c r="E49" s="1" t="n">
        <v>46233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22953-2023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45072</v>
      </c>
      <c r="E50" s="1" t="n">
        <v>46233</v>
      </c>
      <c r="F50" t="inlineStr">
        <is>
          <t>VÄSTRA GÖTALANDS LÄN</t>
        </is>
      </c>
      <c r="G50" t="inlineStr">
        <is>
          <t>MÖLNDAL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46233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46233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2026-07-30T01:54:13Z</dcterms:created>
  <dcterms:modified xmlns:dcterms="http://purl.org/dc/terms/" xmlns:xsi="http://www.w3.org/2001/XMLSchema-instance" xsi:type="dcterms:W3CDTF">2026-07-30T01:54:13Z</dcterms:modified>
</cp:coreProperties>
</file>