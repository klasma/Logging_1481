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46216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46216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46216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46216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Klippfrullania
Trubbfjädermossa</t>
        </is>
      </c>
      <c r="V5">
        <f>HYPERLINK("https://klasma.github.io/Logging_1481/artfynd/A 49789-2023 artfynd.xlsx", "A 49789-2023")</f>
        <v/>
      </c>
      <c r="W5">
        <f>HYPERLINK("https://klasma.github.io/Logging_1481/kartor/A 49789-2023 karta.png", "A 49789-2023")</f>
        <v/>
      </c>
      <c r="Y5">
        <f>HYPERLINK("https://klasma.github.io/Logging_1481/klagomål/A 49789-2023 FSC-klagomål.docx", "A 49789-2023")</f>
        <v/>
      </c>
      <c r="Z5">
        <f>HYPERLINK("https://klasma.github.io/Logging_1481/klagomålsmail/A 49789-2023 FSC-klagomål mail.docx", "A 49789-2023")</f>
        <v/>
      </c>
      <c r="AA5">
        <f>HYPERLINK("https://klasma.github.io/Logging_1481/tillsyn/A 49789-2023 tillsynsbegäran.docx", "A 49789-2023")</f>
        <v/>
      </c>
      <c r="AB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46216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Y6">
        <f>HYPERLINK("https://klasma.github.io/Logging_1481/klagomål/A 62768-2025 FSC-klagomål.docx", "A 62768-2025")</f>
        <v/>
      </c>
      <c r="Z6">
        <f>HYPERLINK("https://klasma.github.io/Logging_1481/klagomålsmail/A 62768-2025 FSC-klagomål mail.docx", "A 62768-2025")</f>
        <v/>
      </c>
      <c r="AA6">
        <f>HYPERLINK("https://klasma.github.io/Logging_1481/tillsyn/A 62768-2025 tillsynsbegäran.docx", "A 62768-2025")</f>
        <v/>
      </c>
      <c r="AB6">
        <f>HYPERLINK("https://klasma.github.io/Logging_1481/tillsynsmail/A 62768-2025 tillsynsbegäran mail.docx", "A 62768-2025")</f>
        <v/>
      </c>
      <c r="AC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46216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Duvhök
Spillkråka</t>
        </is>
      </c>
      <c r="V7">
        <f>HYPERLINK("https://klasma.github.io/Logging_1481/artfynd/A 393-2025 artfynd.xlsx", "A 393-2025")</f>
        <v/>
      </c>
      <c r="W7">
        <f>HYPERLINK("https://klasma.github.io/Logging_1481/kartor/A 393-2025 karta.png", "A 393-2025")</f>
        <v/>
      </c>
      <c r="Y7">
        <f>HYPERLINK("https://klasma.github.io/Logging_1481/klagomål/A 393-2025 FSC-klagomål.docx", "A 393-2025")</f>
        <v/>
      </c>
      <c r="Z7">
        <f>HYPERLINK("https://klasma.github.io/Logging_1481/klagomålsmail/A 393-2025 FSC-klagomål mail.docx", "A 393-2025")</f>
        <v/>
      </c>
      <c r="AA7">
        <f>HYPERLINK("https://klasma.github.io/Logging_1481/tillsyn/A 393-2025 tillsynsbegäran.docx", "A 393-2025")</f>
        <v/>
      </c>
      <c r="AB7">
        <f>HYPERLINK("https://klasma.github.io/Logging_1481/tillsynsmail/A 393-2025 tillsynsbegäran mail.docx", "A 393-2025")</f>
        <v/>
      </c>
      <c r="AC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46216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Duvhök
Tjäder</t>
        </is>
      </c>
      <c r="V8">
        <f>HYPERLINK("https://klasma.github.io/Logging_1481/artfynd/A 46384-2025 artfynd.xlsx", "A 46384-2025")</f>
        <v/>
      </c>
      <c r="W8">
        <f>HYPERLINK("https://klasma.github.io/Logging_1481/kartor/A 46384-2025 karta.png", "A 46384-2025")</f>
        <v/>
      </c>
      <c r="Y8">
        <f>HYPERLINK("https://klasma.github.io/Logging_1481/klagomål/A 46384-2025 FSC-klagomål.docx", "A 46384-2025")</f>
        <v/>
      </c>
      <c r="Z8">
        <f>HYPERLINK("https://klasma.github.io/Logging_1481/klagomålsmail/A 46384-2025 FSC-klagomål mail.docx", "A 46384-2025")</f>
        <v/>
      </c>
      <c r="AA8">
        <f>HYPERLINK("https://klasma.github.io/Logging_1481/tillsyn/A 46384-2025 tillsynsbegäran.docx", "A 46384-2025")</f>
        <v/>
      </c>
      <c r="AB8">
        <f>HYPERLINK("https://klasma.github.io/Logging_1481/tillsynsmail/A 46384-2025 tillsynsbegäran mail.docx", "A 46384-2025")</f>
        <v/>
      </c>
      <c r="AC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46216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46216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46216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Tjäder</t>
        </is>
      </c>
      <c r="V11">
        <f>HYPERLINK("https://klasma.github.io/Logging_1481/artfynd/A 2842-2025 artfynd.xlsx", "A 2842-2025")</f>
        <v/>
      </c>
      <c r="W11">
        <f>HYPERLINK("https://klasma.github.io/Logging_1481/kartor/A 2842-2025 karta.png", "A 2842-2025")</f>
        <v/>
      </c>
      <c r="Y11">
        <f>HYPERLINK("https://klasma.github.io/Logging_1481/klagomål/A 2842-2025 FSC-klagomål.docx", "A 2842-2025")</f>
        <v/>
      </c>
      <c r="Z11">
        <f>HYPERLINK("https://klasma.github.io/Logging_1481/klagomålsmail/A 2842-2025 FSC-klagomål mail.docx", "A 2842-2025")</f>
        <v/>
      </c>
      <c r="AA11">
        <f>HYPERLINK("https://klasma.github.io/Logging_1481/tillsyn/A 2842-2025 tillsynsbegäran.docx", "A 2842-2025")</f>
        <v/>
      </c>
      <c r="AB11">
        <f>HYPERLINK("https://klasma.github.io/Logging_1481/tillsynsmail/A 2842-2025 tillsynsbegäran mail.docx", "A 2842-2025")</f>
        <v/>
      </c>
      <c r="AC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46216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Y12">
        <f>HYPERLINK("https://klasma.github.io/Logging_1481/klagomål/A 44926-2025 FSC-klagomål.docx", "A 44926-2025")</f>
        <v/>
      </c>
      <c r="Z12">
        <f>HYPERLINK("https://klasma.github.io/Logging_1481/klagomålsmail/A 44926-2025 FSC-klagomål mail.docx", "A 44926-2025")</f>
        <v/>
      </c>
      <c r="AA12">
        <f>HYPERLINK("https://klasma.github.io/Logging_1481/tillsyn/A 44926-2025 tillsynsbegäran.docx", "A 44926-2025")</f>
        <v/>
      </c>
      <c r="AB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46216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46216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46216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46216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46216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46216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46216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46216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46216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46216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46216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46216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46216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46216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46216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46216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46216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10672-2026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46216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46216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10654-2026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46216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22953-2023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45072</v>
      </c>
      <c r="E33" s="1" t="n">
        <v>46216</v>
      </c>
      <c r="F33" t="inlineStr">
        <is>
          <t>VÄSTRA GÖTALANDS LÄN</t>
        </is>
      </c>
      <c r="G33" t="inlineStr">
        <is>
          <t>MÖLNDAL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46216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46216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46216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46216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46216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46216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46216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46216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11256-2024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46216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46216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46216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46216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45782</v>
      </c>
      <c r="E46" s="1" t="n">
        <v>46216</v>
      </c>
      <c r="F46" t="inlineStr">
        <is>
          <t>VÄSTRA GÖTALANDS LÄN</t>
        </is>
      </c>
      <c r="G46" t="inlineStr">
        <is>
          <t>MÖLNDAL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46216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46216</v>
      </c>
      <c r="F48" t="inlineStr">
        <is>
          <t>VÄSTRA GÖTALANDS LÄN</t>
        </is>
      </c>
      <c r="G48" t="inlineStr">
        <is>
          <t>MÖLNDAL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46216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46216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2026-07-13T14:52:46Z</dcterms:created>
  <dcterms:modified xmlns:dcterms="http://purl.org/dc/terms/" xmlns:xsi="http://www.w3.org/2001/XMLSchema-instance" xsi:type="dcterms:W3CDTF">2026-07-13T14:52:46Z</dcterms:modified>
</cp:coreProperties>
</file>