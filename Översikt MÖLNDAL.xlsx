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46165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46165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46165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46165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46165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46165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46165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46165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2842-2025</t>
        </is>
      </c>
      <c r="B10" s="1" t="n">
        <v>45677</v>
      </c>
      <c r="C10" s="1" t="n">
        <v>46165</v>
      </c>
      <c r="D10" t="inlineStr">
        <is>
          <t>VÄSTRA GÖTALANDS LÄN</t>
        </is>
      </c>
      <c r="E10" t="inlineStr">
        <is>
          <t>MÖLNDAL</t>
        </is>
      </c>
      <c r="G10" t="n">
        <v>2.7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2842-2025 artfynd.xlsx", "A 2842-2025")</f>
        <v/>
      </c>
      <c r="T10">
        <f>HYPERLINK("https://klasma.github.io/Logging_1481/kartor/A 2842-2025 karta.png", "A 2842-2025")</f>
        <v/>
      </c>
      <c r="V10">
        <f>HYPERLINK("https://klasma.github.io/Logging_1481/klagomål/A 2842-2025 FSC-klagomål.docx", "A 2842-2025")</f>
        <v/>
      </c>
      <c r="W10">
        <f>HYPERLINK("https://klasma.github.io/Logging_1481/klagomålsmail/A 2842-2025 FSC-klagomål mail.docx", "A 2842-2025")</f>
        <v/>
      </c>
      <c r="X10">
        <f>HYPERLINK("https://klasma.github.io/Logging_1481/tillsyn/A 2842-2025 tillsynsbegäran.docx", "A 2842-2025")</f>
        <v/>
      </c>
      <c r="Y10">
        <f>HYPERLINK("https://klasma.github.io/Logging_1481/tillsynsmail/A 2842-2025 tillsynsbegäran mail.docx", "A 2842-2025")</f>
        <v/>
      </c>
      <c r="Z10">
        <f>HYPERLINK("https://klasma.github.io/Logging_1481/fåglar/A 2842-2025 prioriterade fågelarter.docx", "A 2842-2025")</f>
        <v/>
      </c>
    </row>
    <row r="11" ht="15" customHeight="1">
      <c r="A11" t="inlineStr">
        <is>
          <t>A 34574-2025</t>
        </is>
      </c>
      <c r="B11" s="1" t="n">
        <v>45847.59914351852</v>
      </c>
      <c r="C11" s="1" t="n">
        <v>46165</v>
      </c>
      <c r="D11" t="inlineStr">
        <is>
          <t>VÄSTRA GÖTALANDS LÄN</t>
        </is>
      </c>
      <c r="E11" t="inlineStr">
        <is>
          <t>MÖLNDAL</t>
        </is>
      </c>
      <c r="G11" t="n">
        <v>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HYPERLINK("https://klasma.github.io/Logging_1481/artfynd/A 34574-2025 artfynd.xlsx", "A 34574-2025")</f>
        <v/>
      </c>
      <c r="T11">
        <f>HYPERLINK("https://klasma.github.io/Logging_1481/kartor/A 34574-2025 karta.png", "A 34574-2025")</f>
        <v/>
      </c>
      <c r="V11">
        <f>HYPERLINK("https://klasma.github.io/Logging_1481/klagomål/A 34574-2025 FSC-klagomål.docx", "A 34574-2025")</f>
        <v/>
      </c>
      <c r="W11">
        <f>HYPERLINK("https://klasma.github.io/Logging_1481/klagomålsmail/A 34574-2025 FSC-klagomål mail.docx", "A 34574-2025")</f>
        <v/>
      </c>
      <c r="X11">
        <f>HYPERLINK("https://klasma.github.io/Logging_1481/tillsyn/A 34574-2025 tillsynsbegäran.docx", "A 34574-2025")</f>
        <v/>
      </c>
      <c r="Y11">
        <f>HYPERLINK("https://klasma.github.io/Logging_1481/tillsynsmail/A 34574-2025 tillsynsbegäran mail.docx", "A 34574-2025")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46165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46165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46165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46165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46165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46165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46165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46165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46165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46165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46165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46165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46165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46165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46379-2025</t>
        </is>
      </c>
      <c r="B26" s="1" t="n">
        <v>45925</v>
      </c>
      <c r="C26" s="1" t="n">
        <v>46165</v>
      </c>
      <c r="D26" t="inlineStr">
        <is>
          <t>VÄSTRA GÖTALANDS LÄN</t>
        </is>
      </c>
      <c r="E26" t="inlineStr">
        <is>
          <t>MÖLNDAL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37570-2025</t>
        </is>
      </c>
      <c r="B27" s="1" t="n">
        <v>45880.37358796296</v>
      </c>
      <c r="C27" s="1" t="n">
        <v>46165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44926-2025</t>
        </is>
      </c>
      <c r="B28" s="1" t="n">
        <v>45918.55856481481</v>
      </c>
      <c r="C28" s="1" t="n">
        <v>46165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46165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46165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46165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46165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46165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61178-2024</t>
        </is>
      </c>
      <c r="B34" s="1" t="n">
        <v>45645</v>
      </c>
      <c r="C34" s="1" t="n">
        <v>46165</v>
      </c>
      <c r="D34" t="inlineStr">
        <is>
          <t>VÄSTRA GÖTALANDS LÄN</t>
        </is>
      </c>
      <c r="E34" t="inlineStr">
        <is>
          <t>MÖLNDAL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46165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46165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10672-2026</t>
        </is>
      </c>
      <c r="B37" s="1" t="n">
        <v>46078.40140046296</v>
      </c>
      <c r="C37" s="1" t="n">
        <v>46165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46165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10661-2026</t>
        </is>
      </c>
      <c r="B39" s="1" t="n">
        <v>46078.37611111111</v>
      </c>
      <c r="C39" s="1" t="n">
        <v>46165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10654-2026</t>
        </is>
      </c>
      <c r="B40" s="1" t="n">
        <v>46078.35840277778</v>
      </c>
      <c r="C40" s="1" t="n">
        <v>46165</v>
      </c>
      <c r="D40" t="inlineStr">
        <is>
          <t>VÄSTRA GÖTALANDS LÄN</t>
        </is>
      </c>
      <c r="E40" t="inlineStr">
        <is>
          <t>MÖLNDAL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48265-2025</t>
        </is>
      </c>
      <c r="B41" s="1" t="n">
        <v>45933</v>
      </c>
      <c r="C41" s="1" t="n">
        <v>46165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45371.66233796296</v>
      </c>
      <c r="C42" s="1" t="n">
        <v>46165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46165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46165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45371.67425925926</v>
      </c>
      <c r="C45" s="1" t="n">
        <v>46165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45769.56212962963</v>
      </c>
      <c r="C46" s="1" t="n">
        <v>46165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46165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46165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2026-05-23T10:51:37Z</dcterms:created>
  <dcterms:modified xmlns:dcterms="http://purl.org/dc/terms/" xmlns:xsi="http://www.w3.org/2001/XMLSchema-instance" xsi:type="dcterms:W3CDTF">2026-05-23T10:51:37Z</dcterms:modified>
</cp:coreProperties>
</file>