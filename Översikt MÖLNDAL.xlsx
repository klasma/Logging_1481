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46253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46253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46253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46253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46253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46253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46253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49789-2023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45212</v>
      </c>
      <c r="E9" s="1" t="n">
        <v>46253</v>
      </c>
      <c r="F9" t="inlineStr">
        <is>
          <t>VÄSTRA GÖTALANDS LÄN</t>
        </is>
      </c>
      <c r="G9" t="inlineStr">
        <is>
          <t>MÖLNDAL</t>
        </is>
      </c>
      <c r="I9" t="n">
        <v>3.8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Klippfrullania
Trubbfjädermossa</t>
        </is>
      </c>
      <c r="W9">
        <f>HYPERLINK("https://klasma.github.io/Logging_1481/artfynd/A 49789-2023 artfynd.xlsx", "A 49789-2023")</f>
        <v/>
      </c>
      <c r="X9">
        <f>HYPERLINK("https://klasma.github.io/Logging_1481/kartor/A 49789-2023 karta.png", "A 49789-2023")</f>
        <v/>
      </c>
      <c r="Y9">
        <f>HYPERLINK("https://klasma.github.io/Logging_1481/kartor_geotiff/A 49789-2023 georefererad karta.tif", "A 49789-2023")</f>
        <v/>
      </c>
      <c r="AA9">
        <f>HYPERLINK("https://klasma.github.io/Logging_1481/klagomål/A 49789-2023 FSC-klagomål.docx", "A 49789-2023")</f>
        <v/>
      </c>
      <c r="AB9">
        <f>HYPERLINK("https://klasma.github.io/Logging_1481/klagomålsmail/A 49789-2023 FSC-klagomål mail.docx", "A 49789-2023")</f>
        <v/>
      </c>
      <c r="AC9">
        <f>HYPERLINK("https://klasma.github.io/Logging_1481/tillsyn/A 49789-2023 tillsynsbegäran.docx", "A 49789-2023")</f>
        <v/>
      </c>
      <c r="AD9">
        <f>HYPERLINK("https://klasma.github.io/Logging_1481/tillsynsmail/A 49789-2023 tillsynsbegäran mail.docx", "A 49789-2023")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46253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46253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46253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46253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46253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46253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46253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46253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46253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46253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46253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46253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46253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46253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46253</v>
      </c>
      <c r="F24" t="inlineStr">
        <is>
          <t>VÄSTRA GÖTALANDS LÄN</t>
        </is>
      </c>
      <c r="G24" t="inlineStr">
        <is>
          <t>MÖLNDAL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11256-2024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45371</v>
      </c>
      <c r="E25" s="1" t="n">
        <v>46253</v>
      </c>
      <c r="F25" t="inlineStr">
        <is>
          <t>VÄSTRA GÖTALANDS LÄN</t>
        </is>
      </c>
      <c r="G25" t="inlineStr">
        <is>
          <t>MÖLNDAL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46253</v>
      </c>
      <c r="F26" t="inlineStr">
        <is>
          <t>VÄSTRA GÖTALANDS LÄN</t>
        </is>
      </c>
      <c r="G26" t="inlineStr">
        <is>
          <t>MÖLNDAL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46253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46253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46253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46253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46253</v>
      </c>
      <c r="F31" t="inlineStr">
        <is>
          <t>VÄSTRA GÖTALANDS LÄN</t>
        </is>
      </c>
      <c r="G31" t="inlineStr">
        <is>
          <t>MÖLNDAL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60809-2024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46253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45659</v>
      </c>
      <c r="E33" s="1" t="n">
        <v>46253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45127</v>
      </c>
      <c r="E34" s="1" t="n">
        <v>46253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45880</v>
      </c>
      <c r="E35" s="1" t="n">
        <v>46253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46253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46253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46253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46253</v>
      </c>
      <c r="F39" t="inlineStr">
        <is>
          <t>VÄSTRA GÖTALANDS LÄN</t>
        </is>
      </c>
      <c r="G39" t="inlineStr">
        <is>
          <t>MÖLNDAL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46253</v>
      </c>
      <c r="F40" t="inlineStr">
        <is>
          <t>VÄSTRA GÖTALANDS LÄN</t>
        </is>
      </c>
      <c r="G40" t="inlineStr">
        <is>
          <t>MÖLNDAL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46253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31828-2026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46230</v>
      </c>
      <c r="E42" s="1" t="n">
        <v>46253</v>
      </c>
      <c r="F42" t="inlineStr">
        <is>
          <t>VÄSTRA GÖTALANDS LÄN</t>
        </is>
      </c>
      <c r="G42" t="inlineStr">
        <is>
          <t>MÖLNDAL</t>
        </is>
      </c>
      <c r="I42" t="n">
        <v>7.6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46253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46253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46253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32941-2026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46253</v>
      </c>
      <c r="F46" t="inlineStr">
        <is>
          <t>VÄSTRA GÖTALANDS LÄN</t>
        </is>
      </c>
      <c r="G46" t="inlineStr">
        <is>
          <t>MÖLNDAL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46253</v>
      </c>
      <c r="F47" t="inlineStr">
        <is>
          <t>VÄSTRA GÖTALANDS LÄN</t>
        </is>
      </c>
      <c r="G47" t="inlineStr">
        <is>
          <t>MÖLNDAL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46253</v>
      </c>
      <c r="F48" t="inlineStr">
        <is>
          <t>VÄSTRA GÖTALANDS LÄN</t>
        </is>
      </c>
      <c r="G48" t="inlineStr">
        <is>
          <t>MÖLNDAL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24771-2023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45084</v>
      </c>
      <c r="E49" s="1" t="n">
        <v>46253</v>
      </c>
      <c r="F49" t="inlineStr">
        <is>
          <t>VÄSTRA GÖTALANDS LÄN</t>
        </is>
      </c>
      <c r="G49" t="inlineStr">
        <is>
          <t>MÖLNDAL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32581-2026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46239</v>
      </c>
      <c r="E50" s="1" t="n">
        <v>46253</v>
      </c>
      <c r="F50" t="inlineStr">
        <is>
          <t>VÄSTRA GÖTALANDS LÄN</t>
        </is>
      </c>
      <c r="G50" t="inlineStr">
        <is>
          <t>MÖLNDAL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46253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46253</v>
      </c>
      <c r="F52" t="inlineStr">
        <is>
          <t>VÄSTRA GÖTALANDS LÄN</t>
        </is>
      </c>
      <c r="G52" t="inlineStr">
        <is>
          <t>MÖLNDAL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921-2025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45737</v>
      </c>
      <c r="E53" s="1" t="n">
        <v>46253</v>
      </c>
      <c r="F53" t="inlineStr">
        <is>
          <t>VÄSTRA GÖTALANDS LÄN</t>
        </is>
      </c>
      <c r="G53" t="inlineStr">
        <is>
          <t>MÖLNDAL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46028</v>
      </c>
      <c r="E54" s="1" t="n">
        <v>46253</v>
      </c>
      <c r="F54" t="inlineStr">
        <is>
          <t>VÄSTRA GÖTALANDS LÄN</t>
        </is>
      </c>
      <c r="G54" t="inlineStr">
        <is>
          <t>MÖLNDAL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2026-08-19T01:48:35Z</dcterms:created>
  <dcterms:modified xmlns:dcterms="http://purl.org/dc/terms/" xmlns:xsi="http://www.w3.org/2001/XMLSchema-instance" xsi:type="dcterms:W3CDTF">2026-08-19T01:48:35Z</dcterms:modified>
</cp:coreProperties>
</file>