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46254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46254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46254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46254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46254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46254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46254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62768-2025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46008</v>
      </c>
      <c r="E9" s="1" t="n">
        <v>46254</v>
      </c>
      <c r="F9" t="inlineStr">
        <is>
          <t>VÄSTRA GÖTALANDS LÄN</t>
        </is>
      </c>
      <c r="G9" t="inlineStr">
        <is>
          <t>MÖLNDAL</t>
        </is>
      </c>
      <c r="I9" t="n">
        <v>4.2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4</v>
      </c>
      <c r="U9" t="n">
        <v>4</v>
      </c>
      <c r="V9" s="2" t="inlineStr">
        <is>
          <t>Spillkråka
Tjäder</t>
        </is>
      </c>
      <c r="W9">
        <f>HYPERLINK("https://klasma.github.io/Logging_1481/artfynd/A 62768-2025 artfynd.xlsx", "A 62768-2025")</f>
        <v/>
      </c>
      <c r="X9">
        <f>HYPERLINK("https://klasma.github.io/Logging_1481/kartor/A 62768-2025 karta.png", "A 62768-2025")</f>
        <v/>
      </c>
      <c r="Y9">
        <f>HYPERLINK("https://klasma.github.io/Logging_1481/kartor_geotiff/A 62768-2025 georefererad karta.tif", "A 62768-2025")</f>
        <v/>
      </c>
      <c r="AA9">
        <f>HYPERLINK("https://klasma.github.io/Logging_1481/klagomål/A 62768-2025 FSC-klagomål.docx", "A 62768-2025")</f>
        <v/>
      </c>
      <c r="AB9">
        <f>HYPERLINK("https://klasma.github.io/Logging_1481/klagomålsmail/A 62768-2025 FSC-klagomål mail.docx", "A 62768-2025")</f>
        <v/>
      </c>
      <c r="AC9">
        <f>HYPERLINK("https://klasma.github.io/Logging_1481/tillsyn/A 62768-2025 tillsynsbegäran.docx", "A 62768-2025")</f>
        <v/>
      </c>
      <c r="AD9">
        <f>HYPERLINK("https://klasma.github.io/Logging_1481/tillsynsmail/A 62768-2025 tillsynsbegäran mail.docx", "A 62768-2025")</f>
        <v/>
      </c>
      <c r="AE9">
        <f>HYPERLINK("https://klasma.github.io/Logging_1481/fåglar/A 62768-2025 prioriterade fågelarter.docx", "A 62768-2025")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46254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46254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48265-2025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45933</v>
      </c>
      <c r="E12" s="1" t="n">
        <v>46254</v>
      </c>
      <c r="F12" t="inlineStr">
        <is>
          <t>VÄSTRA GÖTALANDS LÄN</t>
        </is>
      </c>
      <c r="G12" t="inlineStr">
        <is>
          <t>MÖLNDAL</t>
        </is>
      </c>
      <c r="I12" t="n">
        <v>2.1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48265-2025 artfynd.xlsx", "A 48265-2025")</f>
        <v/>
      </c>
      <c r="X12">
        <f>HYPERLINK("https://klasma.github.io/Logging_1481/kartor/A 48265-2025 karta.png", "A 48265-2025")</f>
        <v/>
      </c>
      <c r="Y12">
        <f>HYPERLINK("https://klasma.github.io/Logging_1481/kartor_geotiff/A 48265-2025 georefererad karta.tif", "A 48265-2025")</f>
        <v/>
      </c>
      <c r="AA12">
        <f>HYPERLINK("https://klasma.github.io/Logging_1481/klagomål/A 48265-2025 FSC-klagomål.docx", "A 48265-2025")</f>
        <v/>
      </c>
      <c r="AB12">
        <f>HYPERLINK("https://klasma.github.io/Logging_1481/klagomålsmail/A 48265-2025 FSC-klagomål mail.docx", "A 48265-2025")</f>
        <v/>
      </c>
      <c r="AC12">
        <f>HYPERLINK("https://klasma.github.io/Logging_1481/tillsyn/A 48265-2025 tillsynsbegäran.docx", "A 48265-2025")</f>
        <v/>
      </c>
      <c r="AD12">
        <f>HYPERLINK("https://klasma.github.io/Logging_1481/tillsynsmail/A 48265-2025 tillsynsbegäran mail.docx", "A 48265-2025")</f>
        <v/>
      </c>
      <c r="AE12">
        <f>HYPERLINK("https://klasma.github.io/Logging_1481/fåglar/A 48265-2025 prioriterade fågelarter.docx", "A 48265-2025")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46254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46379-2025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45925</v>
      </c>
      <c r="E14" s="1" t="n">
        <v>46254</v>
      </c>
      <c r="F14" t="inlineStr">
        <is>
          <t>VÄSTRA GÖTALANDS LÄN</t>
        </is>
      </c>
      <c r="G14" t="inlineStr">
        <is>
          <t>MÖLNDAL</t>
        </is>
      </c>
      <c r="I14" t="n">
        <v>4.8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Fiskgjuse</t>
        </is>
      </c>
      <c r="W14">
        <f>HYPERLINK("https://klasma.github.io/Logging_1481/artfynd/A 46379-2025 artfynd.xlsx", "A 46379-2025")</f>
        <v/>
      </c>
      <c r="X14">
        <f>HYPERLINK("https://klasma.github.io/Logging_1481/kartor/A 46379-2025 karta.png", "A 46379-2025")</f>
        <v/>
      </c>
      <c r="Y14">
        <f>HYPERLINK("https://klasma.github.io/Logging_1481/kartor_geotiff/A 46379-2025 georefererad karta.tif", "A 46379-2025")</f>
        <v/>
      </c>
      <c r="AA14">
        <f>HYPERLINK("https://klasma.github.io/Logging_1481/klagomål/A 46379-2025 FSC-klagomål.docx", "A 46379-2025")</f>
        <v/>
      </c>
      <c r="AB14">
        <f>HYPERLINK("https://klasma.github.io/Logging_1481/klagomålsmail/A 46379-2025 FSC-klagomål mail.docx", "A 46379-2025")</f>
        <v/>
      </c>
      <c r="AC14">
        <f>HYPERLINK("https://klasma.github.io/Logging_1481/tillsyn/A 46379-2025 tillsynsbegäran.docx", "A 46379-2025")</f>
        <v/>
      </c>
      <c r="AD14">
        <f>HYPERLINK("https://klasma.github.io/Logging_1481/tillsynsmail/A 46379-2025 tillsynsbegäran mail.docx", "A 46379-2025")</f>
        <v/>
      </c>
      <c r="AE14">
        <f>HYPERLINK("https://klasma.github.io/Logging_1481/fåglar/A 46379-2025 prioriterade fågelarter.docx", "A 46379-2025")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46254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46254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46254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46254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46254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46254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46254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46254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46254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46254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45441</v>
      </c>
      <c r="E25" s="1" t="n">
        <v>46254</v>
      </c>
      <c r="F25" t="inlineStr">
        <is>
          <t>VÄSTRA GÖTALANDS LÄN</t>
        </is>
      </c>
      <c r="G25" t="inlineStr">
        <is>
          <t>MÖLNDAL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43067-2024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46254</v>
      </c>
      <c r="F26" t="inlineStr">
        <is>
          <t>VÄSTRA GÖTALANDS LÄN</t>
        </is>
      </c>
      <c r="G26" t="inlineStr">
        <is>
          <t>MÖLNDAL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45378</v>
      </c>
      <c r="E27" s="1" t="n">
        <v>46254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46254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22953-2023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45072</v>
      </c>
      <c r="E29" s="1" t="n">
        <v>46254</v>
      </c>
      <c r="F29" t="inlineStr">
        <is>
          <t>VÄSTRA GÖTALANDS LÄN</t>
        </is>
      </c>
      <c r="G29" t="inlineStr">
        <is>
          <t>MÖLNDAL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62804-2023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45271</v>
      </c>
      <c r="E30" s="1" t="n">
        <v>46254</v>
      </c>
      <c r="F30" t="inlineStr">
        <is>
          <t>VÄSTRA GÖTALANDS LÄN</t>
        </is>
      </c>
      <c r="G30" t="inlineStr">
        <is>
          <t>MÖLNDAL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45782</v>
      </c>
      <c r="E31" s="1" t="n">
        <v>46254</v>
      </c>
      <c r="F31" t="inlineStr">
        <is>
          <t>VÄSTRA GÖTALANDS LÄN</t>
        </is>
      </c>
      <c r="G31" t="inlineStr">
        <is>
          <t>MÖLNDAL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45321</v>
      </c>
      <c r="E32" s="1" t="n">
        <v>46254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46254</v>
      </c>
      <c r="F33" t="inlineStr">
        <is>
          <t>VÄSTRA GÖTALANDS LÄN</t>
        </is>
      </c>
      <c r="G33" t="inlineStr">
        <is>
          <t>MÖLNDAL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45337</v>
      </c>
      <c r="E34" s="1" t="n">
        <v>46254</v>
      </c>
      <c r="F34" t="inlineStr">
        <is>
          <t>VÄSTRA GÖTALANDS LÄN</t>
        </is>
      </c>
      <c r="G34" t="inlineStr">
        <is>
          <t>MÖLNDAL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31828-2026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46230</v>
      </c>
      <c r="E35" s="1" t="n">
        <v>46254</v>
      </c>
      <c r="F35" t="inlineStr">
        <is>
          <t>VÄSTRA GÖTALANDS LÄN</t>
        </is>
      </c>
      <c r="G35" t="inlineStr">
        <is>
          <t>MÖLNDAL</t>
        </is>
      </c>
      <c r="I35" t="n">
        <v>7.6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45659</v>
      </c>
      <c r="E36" s="1" t="n">
        <v>46254</v>
      </c>
      <c r="F36" t="inlineStr">
        <is>
          <t>VÄSTRA GÖTALANDS LÄN</t>
        </is>
      </c>
      <c r="G36" t="inlineStr">
        <is>
          <t>MÖLNDAL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28291-2026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46196</v>
      </c>
      <c r="E37" s="1" t="n">
        <v>46254</v>
      </c>
      <c r="F37" t="inlineStr">
        <is>
          <t>VÄSTRA GÖTALANDS LÄN</t>
        </is>
      </c>
      <c r="G37" t="inlineStr">
        <is>
          <t>MÖLNDAL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46254</v>
      </c>
      <c r="F38" t="inlineStr">
        <is>
          <t>VÄSTRA GÖTALANDS LÄN</t>
        </is>
      </c>
      <c r="G38" t="inlineStr">
        <is>
          <t>MÖLNDAL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32941-2026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46244</v>
      </c>
      <c r="E39" s="1" t="n">
        <v>46254</v>
      </c>
      <c r="F39" t="inlineStr">
        <is>
          <t>VÄSTRA GÖTALANDS LÄN</t>
        </is>
      </c>
      <c r="G39" t="inlineStr">
        <is>
          <t>MÖLNDAL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32581-2026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46239</v>
      </c>
      <c r="E40" s="1" t="n">
        <v>46254</v>
      </c>
      <c r="F40" t="inlineStr">
        <is>
          <t>VÄSTRA GÖTALANDS LÄN</t>
        </is>
      </c>
      <c r="G40" t="inlineStr">
        <is>
          <t>MÖLNDAL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46254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61178-2024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46254</v>
      </c>
      <c r="F42" t="inlineStr">
        <is>
          <t>VÄSTRA GÖTALANDS LÄN</t>
        </is>
      </c>
      <c r="G42" t="inlineStr">
        <is>
          <t>MÖLNDAL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46254</v>
      </c>
      <c r="F43" t="inlineStr">
        <is>
          <t>VÄSTRA GÖTALANDS LÄN</t>
        </is>
      </c>
      <c r="G43" t="inlineStr">
        <is>
          <t>MÖLNDAL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46254</v>
      </c>
      <c r="F44" t="inlineStr">
        <is>
          <t>VÄSTRA GÖTALANDS LÄN</t>
        </is>
      </c>
      <c r="G44" t="inlineStr">
        <is>
          <t>MÖLNDAL</t>
        </is>
      </c>
      <c r="H44" t="inlineStr">
        <is>
          <t>Kommuner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10661-2026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46254</v>
      </c>
      <c r="F45" t="inlineStr">
        <is>
          <t>VÄSTRA GÖTALANDS LÄN</t>
        </is>
      </c>
      <c r="G45" t="inlineStr">
        <is>
          <t>MÖLNDAL</t>
        </is>
      </c>
      <c r="H45" t="inlineStr">
        <is>
          <t>Kommuner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46254</v>
      </c>
      <c r="F46" t="inlineStr">
        <is>
          <t>VÄSTRA GÖTALANDS LÄN</t>
        </is>
      </c>
      <c r="G46" t="inlineStr">
        <is>
          <t>MÖLNDAL</t>
        </is>
      </c>
      <c r="H46" t="inlineStr">
        <is>
          <t>Kommuner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24771-2023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45084</v>
      </c>
      <c r="E47" s="1" t="n">
        <v>46254</v>
      </c>
      <c r="F47" t="inlineStr">
        <is>
          <t>VÄSTRA GÖTALANDS LÄN</t>
        </is>
      </c>
      <c r="G47" t="inlineStr">
        <is>
          <t>MÖLNDAL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56133-2023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45240</v>
      </c>
      <c r="E48" s="1" t="n">
        <v>46254</v>
      </c>
      <c r="F48" t="inlineStr">
        <is>
          <t>VÄSTRA GÖTALANDS LÄN</t>
        </is>
      </c>
      <c r="G48" t="inlineStr">
        <is>
          <t>MÖLNDAL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46254</v>
      </c>
      <c r="F49" t="inlineStr">
        <is>
          <t>VÄSTRA GÖTALANDS LÄN</t>
        </is>
      </c>
      <c r="G49" t="inlineStr">
        <is>
          <t>MÖLNDAL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46254</v>
      </c>
      <c r="F50" t="inlineStr">
        <is>
          <t>VÄSTRA GÖTALANDS LÄN</t>
        </is>
      </c>
      <c r="G50" t="inlineStr">
        <is>
          <t>MÖLNDAL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45127</v>
      </c>
      <c r="E51" s="1" t="n">
        <v>46254</v>
      </c>
      <c r="F51" t="inlineStr">
        <is>
          <t>VÄSTRA GÖTALANDS LÄN</t>
        </is>
      </c>
      <c r="G51" t="inlineStr">
        <is>
          <t>MÖLNDAL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37570-2025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45880</v>
      </c>
      <c r="E52" s="1" t="n">
        <v>46254</v>
      </c>
      <c r="F52" t="inlineStr">
        <is>
          <t>VÄSTRA GÖTALANDS LÄN</t>
        </is>
      </c>
      <c r="G52" t="inlineStr">
        <is>
          <t>MÖLNDAL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46254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46254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2026-08-20T01:49:51Z</dcterms:created>
  <dcterms:modified xmlns:dcterms="http://purl.org/dc/terms/" xmlns:xsi="http://www.w3.org/2001/XMLSchema-instance" xsi:type="dcterms:W3CDTF">2026-08-20T01:49:51Z</dcterms:modified>
</cp:coreProperties>
</file>