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46227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46227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46227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46227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46227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46227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Duvhök
Spillkråka</t>
        </is>
      </c>
      <c r="W7">
        <f>HYPERLINK("https://klasma.github.io/Logging_1481/artfynd/A 393-2025 artfynd.xlsx", "A 393-2025")</f>
        <v/>
      </c>
      <c r="X7">
        <f>HYPERLINK("https://klasma.github.io/Logging_1481/kartor/A 393-2025 karta.png", "A 393-2025")</f>
        <v/>
      </c>
      <c r="Y7">
        <f>HYPERLINK("https://klasma.github.io/Logging_1481/kartor_geotiff/A 393-2025 georefererad karta.tif", "A 393-2025")</f>
        <v/>
      </c>
      <c r="AA7">
        <f>HYPERLINK("https://klasma.github.io/Logging_1481/klagomål/A 393-2025 FSC-klagomål.docx", "A 393-2025")</f>
        <v/>
      </c>
      <c r="AB7">
        <f>HYPERLINK("https://klasma.github.io/Logging_1481/klagomålsmail/A 393-2025 FSC-klagomål mail.docx", "A 393-2025")</f>
        <v/>
      </c>
      <c r="AC7">
        <f>HYPERLINK("https://klasma.github.io/Logging_1481/tillsyn/A 393-2025 tillsynsbegäran.docx", "A 393-2025")</f>
        <v/>
      </c>
      <c r="AD7">
        <f>HYPERLINK("https://klasma.github.io/Logging_1481/tillsynsmail/A 393-2025 tillsynsbegäran mail.docx", "A 393-2025")</f>
        <v/>
      </c>
      <c r="AE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46227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46227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46227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46227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Tjäder</t>
        </is>
      </c>
      <c r="W11">
        <f>HYPERLINK("https://klasma.github.io/Logging_1481/artfynd/A 2842-2025 artfynd.xlsx", "A 2842-2025")</f>
        <v/>
      </c>
      <c r="X11">
        <f>HYPERLINK("https://klasma.github.io/Logging_1481/kartor/A 2842-2025 karta.png", "A 2842-2025")</f>
        <v/>
      </c>
      <c r="Y11">
        <f>HYPERLINK("https://klasma.github.io/Logging_1481/kartor_geotiff/A 2842-2025 georefererad karta.tif", "A 2842-2025")</f>
        <v/>
      </c>
      <c r="AA11">
        <f>HYPERLINK("https://klasma.github.io/Logging_1481/klagomål/A 2842-2025 FSC-klagomål.docx", "A 2842-2025")</f>
        <v/>
      </c>
      <c r="AB11">
        <f>HYPERLINK("https://klasma.github.io/Logging_1481/klagomålsmail/A 2842-2025 FSC-klagomål mail.docx", "A 2842-2025")</f>
        <v/>
      </c>
      <c r="AC11">
        <f>HYPERLINK("https://klasma.github.io/Logging_1481/tillsyn/A 2842-2025 tillsynsbegäran.docx", "A 2842-2025")</f>
        <v/>
      </c>
      <c r="AD11">
        <f>HYPERLINK("https://klasma.github.io/Logging_1481/tillsynsmail/A 2842-2025 tillsynsbegäran mail.docx", "A 2842-2025")</f>
        <v/>
      </c>
      <c r="AE11">
        <f>HYPERLINK("https://klasma.github.io/Logging_1481/fåglar/A 2842-2025 prioriterade fågelarter.docx", "A 2842-2025")</f>
        <v/>
      </c>
    </row>
    <row r="12" ht="15" customHeight="1">
      <c r="A12" t="inlineStr">
        <is>
          <t>A 34574-2025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45847</v>
      </c>
      <c r="E12" s="1" t="n">
        <v>46227</v>
      </c>
      <c r="F12" t="inlineStr">
        <is>
          <t>VÄSTRA GÖTALANDS LÄN</t>
        </is>
      </c>
      <c r="G12" t="inlineStr">
        <is>
          <t>MÖLNDAL</t>
        </is>
      </c>
      <c r="I12" t="n">
        <v>7.4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Mattlummer</t>
        </is>
      </c>
      <c r="W12">
        <f>HYPERLINK("https://klasma.github.io/Logging_1481/artfynd/A 34574-2025 artfynd.xlsx", "A 34574-2025")</f>
        <v/>
      </c>
      <c r="X12">
        <f>HYPERLINK("https://klasma.github.io/Logging_1481/kartor/A 34574-2025 karta.png", "A 34574-2025")</f>
        <v/>
      </c>
      <c r="Y12">
        <f>HYPERLINK("https://klasma.github.io/Logging_1481/kartor_geotiff/A 34574-2025 georefererad karta.tif", "A 34574-2025")</f>
        <v/>
      </c>
      <c r="AA12">
        <f>HYPERLINK("https://klasma.github.io/Logging_1481/klagomål/A 34574-2025 FSC-klagomål.docx", "A 34574-2025")</f>
        <v/>
      </c>
      <c r="AB12">
        <f>HYPERLINK("https://klasma.github.io/Logging_1481/klagomålsmail/A 34574-2025 FSC-klagomål mail.docx", "A 34574-2025")</f>
        <v/>
      </c>
      <c r="AC12">
        <f>HYPERLINK("https://klasma.github.io/Logging_1481/tillsyn/A 34574-2025 tillsynsbegäran.docx", "A 34574-2025")</f>
        <v/>
      </c>
      <c r="AD12">
        <f>HYPERLINK("https://klasma.github.io/Logging_1481/tillsynsmail/A 34574-2025 tillsynsbegäran mail.docx", "A 34574-2025")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46227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46227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46227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46227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46227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46227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46227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46227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46227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46227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46227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46227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46227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46227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45880</v>
      </c>
      <c r="E28" s="1" t="n">
        <v>46227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46227</v>
      </c>
      <c r="F29" t="inlineStr">
        <is>
          <t>VÄSTRA GÖTALANDS LÄN</t>
        </is>
      </c>
      <c r="G29" t="inlineStr">
        <is>
          <t>MÖLNDAL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60809-2024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46227</v>
      </c>
      <c r="F30" t="inlineStr">
        <is>
          <t>VÄSTRA GÖTALANDS LÄN</t>
        </is>
      </c>
      <c r="G30" t="inlineStr">
        <is>
          <t>MÖLNDAL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46227</v>
      </c>
      <c r="F31" t="inlineStr">
        <is>
          <t>VÄSTRA GÖTALANDS LÄN</t>
        </is>
      </c>
      <c r="G31" t="inlineStr">
        <is>
          <t>MÖLNDAL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46227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46227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10672-2026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46078</v>
      </c>
      <c r="E34" s="1" t="n">
        <v>46227</v>
      </c>
      <c r="F34" t="inlineStr">
        <is>
          <t>VÄSTRA GÖTALANDS LÄN</t>
        </is>
      </c>
      <c r="G34" t="inlineStr">
        <is>
          <t>MÖLNDAL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46227</v>
      </c>
      <c r="F35" t="inlineStr">
        <is>
          <t>VÄSTRA GÖTALANDS LÄN</t>
        </is>
      </c>
      <c r="G35" t="inlineStr">
        <is>
          <t>MÖLNDAL</t>
        </is>
      </c>
      <c r="H35" t="inlineStr">
        <is>
          <t>Kommuner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46227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46227</v>
      </c>
      <c r="F37" t="inlineStr">
        <is>
          <t>VÄSTRA GÖTALANDS LÄN</t>
        </is>
      </c>
      <c r="G37" t="inlineStr">
        <is>
          <t>MÖLNDAL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45240</v>
      </c>
      <c r="E38" s="1" t="n">
        <v>46227</v>
      </c>
      <c r="F38" t="inlineStr">
        <is>
          <t>VÄSTRA GÖTALANDS LÄN</t>
        </is>
      </c>
      <c r="G38" t="inlineStr">
        <is>
          <t>MÖLNDAL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46227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46227</v>
      </c>
      <c r="F40" t="inlineStr">
        <is>
          <t>VÄSTRA GÖTALANDS LÄN</t>
        </is>
      </c>
      <c r="G40" t="inlineStr">
        <is>
          <t>MÖLNDAL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45321</v>
      </c>
      <c r="E41" s="1" t="n">
        <v>46227</v>
      </c>
      <c r="F41" t="inlineStr">
        <is>
          <t>VÄSTRA GÖTALANDS LÄN</t>
        </is>
      </c>
      <c r="G41" t="inlineStr">
        <is>
          <t>MÖLNDAL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46227</v>
      </c>
      <c r="F42" t="inlineStr">
        <is>
          <t>VÄSTRA GÖTALANDS LÄN</t>
        </is>
      </c>
      <c r="G42" t="inlineStr">
        <is>
          <t>MÖLNDAL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46227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45084</v>
      </c>
      <c r="E44" s="1" t="n">
        <v>46227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21477-2025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46227</v>
      </c>
      <c r="F45" t="inlineStr">
        <is>
          <t>VÄSTRA GÖTALANDS LÄN</t>
        </is>
      </c>
      <c r="G45" t="inlineStr">
        <is>
          <t>MÖLNDAL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46227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62804-2023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45271</v>
      </c>
      <c r="E47" s="1" t="n">
        <v>46227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45072</v>
      </c>
      <c r="E48" s="1" t="n">
        <v>46227</v>
      </c>
      <c r="F48" t="inlineStr">
        <is>
          <t>VÄSTRA GÖTALANDS LÄN</t>
        </is>
      </c>
      <c r="G48" t="inlineStr">
        <is>
          <t>MÖLNDAL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46227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46227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2026-07-24T01:46:15Z</dcterms:created>
  <dcterms:modified xmlns:dcterms="http://purl.org/dc/terms/" xmlns:xsi="http://www.w3.org/2001/XMLSchema-instance" xsi:type="dcterms:W3CDTF">2026-07-24T01:46:15Z</dcterms:modified>
</cp:coreProperties>
</file>