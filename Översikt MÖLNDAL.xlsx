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46308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46308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46308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48265-2025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45933</v>
      </c>
      <c r="E7" s="1" t="n">
        <v>46308</v>
      </c>
      <c r="F7" t="inlineStr">
        <is>
          <t>VÄSTRA GÖTALANDS LÄN</t>
        </is>
      </c>
      <c r="G7" t="inlineStr">
        <is>
          <t>MÖLNDAL</t>
        </is>
      </c>
      <c r="I7" t="n">
        <v>2.1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Timmerticka
Tjäder</t>
        </is>
      </c>
      <c r="W7">
        <f>HYPERLINK("https://klasma.github.io/Logging_1481/artfynd/A 48265-2025 artfynd.xlsx", "A 48265-2025")</f>
        <v/>
      </c>
      <c r="X7">
        <f>HYPERLINK("https://klasma.github.io/Logging_1481/kartor/A 48265-2025 karta.png", "A 48265-2025")</f>
        <v/>
      </c>
      <c r="Y7">
        <f>HYPERLINK("https://klasma.github.io/Logging_1481/kartor_geotiff/A 48265-2025 georefererad karta.tif", "A 48265-2025")</f>
        <v/>
      </c>
      <c r="AA7">
        <f>HYPERLINK("https://klasma.github.io/Logging_1481/klagomål/A 48265-2025 FSC-klagomål.docx", "A 48265-2025")</f>
        <v/>
      </c>
      <c r="AB7">
        <f>HYPERLINK("https://klasma.github.io/Logging_1481/klagomålsmail/A 48265-2025 FSC-klagomål mail.docx", "A 48265-2025")</f>
        <v/>
      </c>
      <c r="AC7">
        <f>HYPERLINK("https://klasma.github.io/Logging_1481/tillsyn/A 48265-2025 tillsynsbegäran.docx", "A 48265-2025")</f>
        <v/>
      </c>
      <c r="AD7">
        <f>HYPERLINK("https://klasma.github.io/Logging_1481/tillsynsmail/A 48265-2025 tillsynsbegäran mail.docx", "A 48265-2025")</f>
        <v/>
      </c>
      <c r="AE7">
        <f>HYPERLINK("https://klasma.github.io/Logging_1481/fåglar/A 48265-2025 prioriterade fågelarter.docx", "A 48265-2025")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46308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46308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46308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46308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Klippfrullania
Trubbfjädermossa</t>
        </is>
      </c>
      <c r="W11">
        <f>HYPERLINK("https://klasma.github.io/Logging_1481/artfynd/A 49789-2023 artfynd.xlsx", "A 49789-2023")</f>
        <v/>
      </c>
      <c r="X11">
        <f>HYPERLINK("https://klasma.github.io/Logging_1481/kartor/A 49789-2023 karta.png", "A 49789-2023")</f>
        <v/>
      </c>
      <c r="Y11">
        <f>HYPERLINK("https://klasma.github.io/Logging_1481/kartor_geotiff/A 49789-2023 georefererad karta.tif", "A 49789-2023")</f>
        <v/>
      </c>
      <c r="AA11">
        <f>HYPERLINK("https://klasma.github.io/Logging_1481/klagomål/A 49789-2023 FSC-klagomål.docx", "A 49789-2023")</f>
        <v/>
      </c>
      <c r="AB11">
        <f>HYPERLINK("https://klasma.github.io/Logging_1481/klagomålsmail/A 49789-2023 FSC-klagomål mail.docx", "A 49789-2023")</f>
        <v/>
      </c>
      <c r="AC11">
        <f>HYPERLINK("https://klasma.github.io/Logging_1481/tillsyn/A 49789-2023 tillsynsbegäran.docx", "A 49789-2023")</f>
        <v/>
      </c>
      <c r="AD11">
        <f>HYPERLINK("https://klasma.github.io/Logging_1481/tillsynsmail/A 49789-2023 tillsynsbegäran mail.docx", "A 49789-2023")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46308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46308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46308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46308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46308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46308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46308</v>
      </c>
      <c r="F23" t="inlineStr">
        <is>
          <t>VÄSTRA GÖTALANDS LÄN</t>
        </is>
      </c>
      <c r="G23" t="inlineStr">
        <is>
          <t>MÖLNDAL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45084</v>
      </c>
      <c r="E24" s="1" t="n">
        <v>46308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45240</v>
      </c>
      <c r="E25" s="1" t="n">
        <v>46308</v>
      </c>
      <c r="F25" t="inlineStr">
        <is>
          <t>VÄSTRA GÖTALANDS LÄN</t>
        </is>
      </c>
      <c r="G25" t="inlineStr">
        <is>
          <t>MÖLNDAL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46308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46308</v>
      </c>
      <c r="F27" t="inlineStr">
        <is>
          <t>VÄSTRA GÖTALANDS LÄN</t>
        </is>
      </c>
      <c r="G27" t="inlineStr">
        <is>
          <t>MÖLNDAL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46308</v>
      </c>
      <c r="F28" t="inlineStr">
        <is>
          <t>VÄSTRA GÖTALANDS LÄN</t>
        </is>
      </c>
      <c r="G28" t="inlineStr">
        <is>
          <t>MÖLNDAL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46308</v>
      </c>
      <c r="F29" t="inlineStr">
        <is>
          <t>VÄSTRA GÖTALANDS LÄN</t>
        </is>
      </c>
      <c r="G29" t="inlineStr">
        <is>
          <t>MÖLNDAL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31828-2026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46308</v>
      </c>
      <c r="F30" t="inlineStr">
        <is>
          <t>VÄSTRA GÖTALANDS LÄN</t>
        </is>
      </c>
      <c r="G30" t="inlineStr">
        <is>
          <t>MÖLNDAL</t>
        </is>
      </c>
      <c r="I30" t="n">
        <v>7.6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46308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38274-2026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46281</v>
      </c>
      <c r="E32" s="1" t="n">
        <v>46308</v>
      </c>
      <c r="F32" t="inlineStr">
        <is>
          <t>VÄSTRA GÖTALANDS LÄN</t>
        </is>
      </c>
      <c r="G32" t="inlineStr">
        <is>
          <t>MÖLNDAL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32581-2026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46239</v>
      </c>
      <c r="E33" s="1" t="n">
        <v>46308</v>
      </c>
      <c r="F33" t="inlineStr">
        <is>
          <t>VÄSTRA GÖTALANDS LÄN</t>
        </is>
      </c>
      <c r="G33" t="inlineStr">
        <is>
          <t>MÖLNDAL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32941-2026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46308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45127</v>
      </c>
      <c r="E35" s="1" t="n">
        <v>46308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45880</v>
      </c>
      <c r="E36" s="1" t="n">
        <v>46308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46308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46308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46308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46301</v>
      </c>
      <c r="E40" s="1" t="n">
        <v>46308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46261</v>
      </c>
      <c r="E41" s="1" t="n">
        <v>46308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21536-2024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45441</v>
      </c>
      <c r="E42" s="1" t="n">
        <v>46308</v>
      </c>
      <c r="F42" t="inlineStr">
        <is>
          <t>VÄSTRA GÖTALANDS LÄN</t>
        </is>
      </c>
      <c r="G42" t="inlineStr">
        <is>
          <t>MÖLNDAL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45567</v>
      </c>
      <c r="E43" s="1" t="n">
        <v>46308</v>
      </c>
      <c r="F43" t="inlineStr">
        <is>
          <t>VÄSTRA GÖTALANDS LÄN</t>
        </is>
      </c>
      <c r="G43" t="inlineStr">
        <is>
          <t>MÖLNDAL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45378</v>
      </c>
      <c r="E44" s="1" t="n">
        <v>46308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46308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22953-2023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45072</v>
      </c>
      <c r="E46" s="1" t="n">
        <v>46308</v>
      </c>
      <c r="F46" t="inlineStr">
        <is>
          <t>VÄSTRA GÖTALANDS LÄN</t>
        </is>
      </c>
      <c r="G46" t="inlineStr">
        <is>
          <t>MÖLNDAL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45271</v>
      </c>
      <c r="E47" s="1" t="n">
        <v>46308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45321</v>
      </c>
      <c r="E48" s="1" t="n">
        <v>46308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46308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46308</v>
      </c>
      <c r="F50" t="inlineStr">
        <is>
          <t>VÄSTRA GÖTALANDS LÄN</t>
        </is>
      </c>
      <c r="G50" t="inlineStr">
        <is>
          <t>MÖLNDAL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45659</v>
      </c>
      <c r="E51" s="1" t="n">
        <v>46308</v>
      </c>
      <c r="F51" t="inlineStr">
        <is>
          <t>VÄSTRA GÖTALANDS LÄN</t>
        </is>
      </c>
      <c r="G51" t="inlineStr">
        <is>
          <t>MÖLNDAL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8639-2023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46308</v>
      </c>
      <c r="F52" t="inlineStr">
        <is>
          <t>VÄSTRA GÖTALANDS LÄN</t>
        </is>
      </c>
      <c r="G52" t="inlineStr">
        <is>
          <t>MÖLNDAL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60809-2024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46308</v>
      </c>
      <c r="F53" t="inlineStr">
        <is>
          <t>VÄSTRA GÖTALANDS LÄN</t>
        </is>
      </c>
      <c r="G53" t="inlineStr">
        <is>
          <t>MÖLNDAL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46308</v>
      </c>
      <c r="F54" t="inlineStr">
        <is>
          <t>VÄSTRA GÖTALANDS LÄN</t>
        </is>
      </c>
      <c r="G54" t="inlineStr">
        <is>
          <t>MÖLNDAL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46308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46308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2026-10-13T02:03:28Z</dcterms:created>
  <dcterms:modified xmlns:dcterms="http://purl.org/dc/terms/" xmlns:xsi="http://www.w3.org/2001/XMLSchema-instance" xsi:type="dcterms:W3CDTF">2026-10-13T02:03:28Z</dcterms:modified>
</cp:coreProperties>
</file>