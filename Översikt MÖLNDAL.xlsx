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46183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46183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46183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46183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Duvhök
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46183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3678-2022</t>
        </is>
      </c>
      <c r="B7" s="1" t="n">
        <v>44586.54900462963</v>
      </c>
      <c r="C7" s="1" t="n">
        <v>46183</v>
      </c>
      <c r="D7" t="inlineStr">
        <is>
          <t>VÄSTRA GÖTALANDS LÄN</t>
        </is>
      </c>
      <c r="E7" t="inlineStr">
        <is>
          <t>MÖLNDAL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HYPERLINK("https://klasma.github.io/Logging_1481/artfynd/A 3678-2022 artfynd.xlsx", "A 3678-2022")</f>
        <v/>
      </c>
      <c r="T7">
        <f>HYPERLINK("https://klasma.github.io/Logging_1481/kartor/A 3678-2022 karta.png", "A 3678-2022")</f>
        <v/>
      </c>
      <c r="V7">
        <f>HYPERLINK("https://klasma.github.io/Logging_1481/klagomål/A 3678-2022 FSC-klagomål.docx", "A 3678-2022")</f>
        <v/>
      </c>
      <c r="W7">
        <f>HYPERLINK("https://klasma.github.io/Logging_1481/klagomålsmail/A 3678-2022 FSC-klagomål mail.docx", "A 3678-2022")</f>
        <v/>
      </c>
      <c r="X7">
        <f>HYPERLINK("https://klasma.github.io/Logging_1481/tillsyn/A 3678-2022 tillsynsbegäran.docx", "A 3678-2022")</f>
        <v/>
      </c>
      <c r="Y7">
        <f>HYPERLINK("https://klasma.github.io/Logging_1481/tillsynsmail/A 3678-2022 tillsynsbegäran mail.docx", "A 3678-2022")</f>
        <v/>
      </c>
      <c r="Z7">
        <f>HYPERLINK("https://klasma.github.io/Logging_1481/fåglar/A 3678-2022 prioriterade fågelarter.docx", "A 3678-2022")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46183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2842-2025</t>
        </is>
      </c>
      <c r="B9" s="1" t="n">
        <v>45677</v>
      </c>
      <c r="C9" s="1" t="n">
        <v>46183</v>
      </c>
      <c r="D9" t="inlineStr">
        <is>
          <t>VÄSTRA GÖTALANDS LÄN</t>
        </is>
      </c>
      <c r="E9" t="inlineStr">
        <is>
          <t>MÖLNDAL</t>
        </is>
      </c>
      <c r="G9" t="n">
        <v>2.7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2842-2025 artfynd.xlsx", "A 2842-2025")</f>
        <v/>
      </c>
      <c r="T9">
        <f>HYPERLINK("https://klasma.github.io/Logging_1481/kartor/A 2842-2025 karta.png", "A 2842-2025")</f>
        <v/>
      </c>
      <c r="V9">
        <f>HYPERLINK("https://klasma.github.io/Logging_1481/klagomål/A 2842-2025 FSC-klagomål.docx", "A 2842-2025")</f>
        <v/>
      </c>
      <c r="W9">
        <f>HYPERLINK("https://klasma.github.io/Logging_1481/klagomålsmail/A 2842-2025 FSC-klagomål mail.docx", "A 2842-2025")</f>
        <v/>
      </c>
      <c r="X9">
        <f>HYPERLINK("https://klasma.github.io/Logging_1481/tillsyn/A 2842-2025 tillsynsbegäran.docx", "A 2842-2025")</f>
        <v/>
      </c>
      <c r="Y9">
        <f>HYPERLINK("https://klasma.github.io/Logging_1481/tillsynsmail/A 2842-2025 tillsynsbegäran mail.docx", "A 2842-2025")</f>
        <v/>
      </c>
      <c r="Z9">
        <f>HYPERLINK("https://klasma.github.io/Logging_1481/fåglar/A 2842-2025 prioriterade fågelarter.docx", "A 2842-2025")</f>
        <v/>
      </c>
    </row>
    <row r="10" ht="15" customHeight="1">
      <c r="A10" t="inlineStr">
        <is>
          <t>A 34574-2025</t>
        </is>
      </c>
      <c r="B10" s="1" t="n">
        <v>45847.59914351852</v>
      </c>
      <c r="C10" s="1" t="n">
        <v>46183</v>
      </c>
      <c r="D10" t="inlineStr">
        <is>
          <t>VÄSTRA GÖTALANDS LÄN</t>
        </is>
      </c>
      <c r="E10" t="inlineStr">
        <is>
          <t>MÖLNDAL</t>
        </is>
      </c>
      <c r="G10" t="n">
        <v>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HYPERLINK("https://klasma.github.io/Logging_1481/artfynd/A 34574-2025 artfynd.xlsx", "A 34574-2025")</f>
        <v/>
      </c>
      <c r="T10">
        <f>HYPERLINK("https://klasma.github.io/Logging_1481/kartor/A 34574-2025 karta.png", "A 34574-2025")</f>
        <v/>
      </c>
      <c r="V10">
        <f>HYPERLINK("https://klasma.github.io/Logging_1481/klagomål/A 34574-2025 FSC-klagomål.docx", "A 34574-2025")</f>
        <v/>
      </c>
      <c r="W10">
        <f>HYPERLINK("https://klasma.github.io/Logging_1481/klagomålsmail/A 34574-2025 FSC-klagomål mail.docx", "A 34574-2025")</f>
        <v/>
      </c>
      <c r="X10">
        <f>HYPERLINK("https://klasma.github.io/Logging_1481/tillsyn/A 34574-2025 tillsynsbegäran.docx", "A 34574-2025")</f>
        <v/>
      </c>
      <c r="Y10">
        <f>HYPERLINK("https://klasma.github.io/Logging_1481/tillsynsmail/A 34574-2025 tillsynsbegäran mail.docx", "A 34574-2025")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46183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46183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46183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46183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46183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46183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46183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46183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11256-2024</t>
        </is>
      </c>
      <c r="B19" s="1" t="n">
        <v>45371.66233796296</v>
      </c>
      <c r="C19" s="1" t="n">
        <v>46183</v>
      </c>
      <c r="D19" t="inlineStr">
        <is>
          <t>VÄSTRA GÖTALANDS LÄN</t>
        </is>
      </c>
      <c r="E19" t="inlineStr">
        <is>
          <t>MÖLNDAL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46183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21477-2025</t>
        </is>
      </c>
      <c r="B21" s="1" t="n">
        <v>45782.59390046296</v>
      </c>
      <c r="C21" s="1" t="n">
        <v>46183</v>
      </c>
      <c r="D21" t="inlineStr">
        <is>
          <t>VÄSTRA GÖTALANDS LÄN</t>
        </is>
      </c>
      <c r="E21" t="inlineStr">
        <is>
          <t>MÖLNDAL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6258-2024</t>
        </is>
      </c>
      <c r="B22" s="1" t="n">
        <v>45337.77947916667</v>
      </c>
      <c r="C22" s="1" t="n">
        <v>46183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46183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46183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56133-2023</t>
        </is>
      </c>
      <c r="B25" s="1" t="n">
        <v>45240</v>
      </c>
      <c r="C25" s="1" t="n">
        <v>46183</v>
      </c>
      <c r="D25" t="inlineStr">
        <is>
          <t>VÄSTRA GÖTALANDS LÄN</t>
        </is>
      </c>
      <c r="E25" t="inlineStr">
        <is>
          <t>MÖLNDAL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12977-2025</t>
        </is>
      </c>
      <c r="B26" s="1" t="n">
        <v>45734.45465277778</v>
      </c>
      <c r="C26" s="1" t="n">
        <v>46183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19295-2025</t>
        </is>
      </c>
      <c r="B27" s="1" t="n">
        <v>45769.56212962963</v>
      </c>
      <c r="C27" s="1" t="n">
        <v>46183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46183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12273-2024</t>
        </is>
      </c>
      <c r="B29" s="1" t="n">
        <v>45378.47817129629</v>
      </c>
      <c r="C29" s="1" t="n">
        <v>46183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33201-2023</t>
        </is>
      </c>
      <c r="B30" s="1" t="n">
        <v>45127.42379629629</v>
      </c>
      <c r="C30" s="1" t="n">
        <v>46183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8639-2023</t>
        </is>
      </c>
      <c r="B31" s="1" t="n">
        <v>44977.95614583333</v>
      </c>
      <c r="C31" s="1" t="n">
        <v>46183</v>
      </c>
      <c r="D31" t="inlineStr">
        <is>
          <t>VÄSTRA GÖTALANDS LÄN</t>
        </is>
      </c>
      <c r="E31" t="inlineStr">
        <is>
          <t>MÖLNDAL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46183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3811-2024</t>
        </is>
      </c>
      <c r="B33" s="1" t="n">
        <v>45321.673125</v>
      </c>
      <c r="C33" s="1" t="n">
        <v>46183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60809-2024</t>
        </is>
      </c>
      <c r="B34" s="1" t="n">
        <v>45644.61414351852</v>
      </c>
      <c r="C34" s="1" t="n">
        <v>46183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44926-2025</t>
        </is>
      </c>
      <c r="B35" s="1" t="n">
        <v>45918.55856481481</v>
      </c>
      <c r="C35" s="1" t="n">
        <v>46183</v>
      </c>
      <c r="D35" t="inlineStr">
        <is>
          <t>VÄSTRA GÖTALANDS LÄN</t>
        </is>
      </c>
      <c r="E35" t="inlineStr">
        <is>
          <t>MÖLNDAL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88-2025</t>
        </is>
      </c>
      <c r="B36" s="1" t="n">
        <v>45659.46386574074</v>
      </c>
      <c r="C36" s="1" t="n">
        <v>46183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11261-2024</t>
        </is>
      </c>
      <c r="B37" s="1" t="n">
        <v>45371.67425925926</v>
      </c>
      <c r="C37" s="1" t="n">
        <v>46183</v>
      </c>
      <c r="D37" t="inlineStr">
        <is>
          <t>VÄSTRA GÖTALANDS LÄN</t>
        </is>
      </c>
      <c r="E37" t="inlineStr">
        <is>
          <t>MÖLNDAL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46183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24771-2023</t>
        </is>
      </c>
      <c r="B39" s="1" t="n">
        <v>45084.64277777778</v>
      </c>
      <c r="C39" s="1" t="n">
        <v>46183</v>
      </c>
      <c r="D39" t="inlineStr">
        <is>
          <t>VÄSTRA GÖTALANDS LÄN</t>
        </is>
      </c>
      <c r="E39" t="inlineStr">
        <is>
          <t>MÖLNDAL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62804-2023</t>
        </is>
      </c>
      <c r="B40" s="1" t="n">
        <v>45271</v>
      </c>
      <c r="C40" s="1" t="n">
        <v>46183</v>
      </c>
      <c r="D40" t="inlineStr">
        <is>
          <t>VÄSTRA GÖTALANDS LÄN</t>
        </is>
      </c>
      <c r="E40" t="inlineStr">
        <is>
          <t>MÖLNDAL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22953-2023</t>
        </is>
      </c>
      <c r="B41" s="1" t="n">
        <v>45072</v>
      </c>
      <c r="C41" s="1" t="n">
        <v>46183</v>
      </c>
      <c r="D41" t="inlineStr">
        <is>
          <t>VÄSTRA GÖTALANDS LÄN</t>
        </is>
      </c>
      <c r="E41" t="inlineStr">
        <is>
          <t>MÖLNDAL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61178-2024</t>
        </is>
      </c>
      <c r="B42" s="1" t="n">
        <v>45645</v>
      </c>
      <c r="C42" s="1" t="n">
        <v>46183</v>
      </c>
      <c r="D42" t="inlineStr">
        <is>
          <t>VÄSTRA GÖTALANDS LÄN</t>
        </is>
      </c>
      <c r="E42" t="inlineStr">
        <is>
          <t>MÖLNDAL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10661-2026</t>
        </is>
      </c>
      <c r="B43" s="1" t="n">
        <v>46078.37611111111</v>
      </c>
      <c r="C43" s="1" t="n">
        <v>46183</v>
      </c>
      <c r="D43" t="inlineStr">
        <is>
          <t>VÄSTRA GÖTALANDS LÄN</t>
        </is>
      </c>
      <c r="E43" t="inlineStr">
        <is>
          <t>MÖLNDAL</t>
        </is>
      </c>
      <c r="F43" t="inlineStr">
        <is>
          <t>Kommuner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10672-2026</t>
        </is>
      </c>
      <c r="B44" s="1" t="n">
        <v>46078.40140046296</v>
      </c>
      <c r="C44" s="1" t="n">
        <v>46183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10654-2026</t>
        </is>
      </c>
      <c r="B45" s="1" t="n">
        <v>46078.35840277778</v>
      </c>
      <c r="C45" s="1" t="n">
        <v>46183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48265-2025</t>
        </is>
      </c>
      <c r="B46" s="1" t="n">
        <v>45933</v>
      </c>
      <c r="C46" s="1" t="n">
        <v>46183</v>
      </c>
      <c r="D46" t="inlineStr">
        <is>
          <t>VÄSTRA GÖTALANDS LÄN</t>
        </is>
      </c>
      <c r="E46" t="inlineStr">
        <is>
          <t>MÖLNDAL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46379-2025</t>
        </is>
      </c>
      <c r="B47" s="1" t="n">
        <v>45925</v>
      </c>
      <c r="C47" s="1" t="n">
        <v>46183</v>
      </c>
      <c r="D47" t="inlineStr">
        <is>
          <t>VÄSTRA GÖTALANDS LÄN</t>
        </is>
      </c>
      <c r="E47" t="inlineStr">
        <is>
          <t>MÖLNDAL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2026-06-10T09:29:30Z</dcterms:created>
  <dcterms:modified xmlns:dcterms="http://purl.org/dc/terms/" xmlns:xsi="http://www.w3.org/2001/XMLSchema-instance" xsi:type="dcterms:W3CDTF">2026-06-10T09:29:30Z</dcterms:modified>
</cp:coreProperties>
</file>