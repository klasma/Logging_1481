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46306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46306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46306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46306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46306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46306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46379-2025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45925</v>
      </c>
      <c r="E8" s="1" t="n">
        <v>46306</v>
      </c>
      <c r="F8" t="inlineStr">
        <is>
          <t>VÄSTRA GÖTALANDS LÄN</t>
        </is>
      </c>
      <c r="G8" t="inlineStr">
        <is>
          <t>MÖLNDAL</t>
        </is>
      </c>
      <c r="I8" t="n">
        <v>4.8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4</v>
      </c>
      <c r="U8" t="n">
        <v>3</v>
      </c>
      <c r="V8" s="2" t="inlineStr">
        <is>
          <t>Spillkråka
Fiskgjuse</t>
        </is>
      </c>
      <c r="W8">
        <f>HYPERLINK("https://klasma.github.io/Logging_1481/artfynd/A 46379-2025 artfynd.xlsx", "A 46379-2025")</f>
        <v/>
      </c>
      <c r="X8">
        <f>HYPERLINK("https://klasma.github.io/Logging_1481/kartor/A 46379-2025 karta.png", "A 46379-2025")</f>
        <v/>
      </c>
      <c r="Y8">
        <f>HYPERLINK("https://klasma.github.io/Logging_1481/kartor_geotiff/A 46379-2025 georefererad karta.tif", "A 46379-2025")</f>
        <v/>
      </c>
      <c r="AA8">
        <f>HYPERLINK("https://klasma.github.io/Logging_1481/klagomål/A 46379-2025 FSC-klagomål.docx", "A 46379-2025")</f>
        <v/>
      </c>
      <c r="AB8">
        <f>HYPERLINK("https://klasma.github.io/Logging_1481/klagomålsmail/A 46379-2025 FSC-klagomål mail.docx", "A 46379-2025")</f>
        <v/>
      </c>
      <c r="AC8">
        <f>HYPERLINK("https://klasma.github.io/Logging_1481/tillsyn/A 46379-2025 tillsynsbegäran.docx", "A 46379-2025")</f>
        <v/>
      </c>
      <c r="AD8">
        <f>HYPERLINK("https://klasma.github.io/Logging_1481/tillsynsmail/A 46379-2025 tillsynsbegäran mail.docx", "A 46379-2025")</f>
        <v/>
      </c>
      <c r="AE8">
        <f>HYPERLINK("https://klasma.github.io/Logging_1481/fåglar/A 46379-2025 prioriterade fågelarter.docx", "A 46379-2025")</f>
        <v/>
      </c>
    </row>
    <row r="9" ht="15" customHeight="1">
      <c r="A9" t="inlineStr">
        <is>
          <t>A 48265-2025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45933</v>
      </c>
      <c r="E9" s="1" t="n">
        <v>46306</v>
      </c>
      <c r="F9" t="inlineStr">
        <is>
          <t>VÄSTRA GÖTALANDS LÄN</t>
        </is>
      </c>
      <c r="G9" t="inlineStr">
        <is>
          <t>MÖLNDAL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Timmerticka
Tjäder</t>
        </is>
      </c>
      <c r="W9">
        <f>HYPERLINK("https://klasma.github.io/Logging_1481/artfynd/A 48265-2025 artfynd.xlsx", "A 48265-2025")</f>
        <v/>
      </c>
      <c r="X9">
        <f>HYPERLINK("https://klasma.github.io/Logging_1481/kartor/A 48265-2025 karta.png", "A 48265-2025")</f>
        <v/>
      </c>
      <c r="Y9">
        <f>HYPERLINK("https://klasma.github.io/Logging_1481/kartor_geotiff/A 48265-2025 georefererad karta.tif", "A 48265-2025")</f>
        <v/>
      </c>
      <c r="AA9">
        <f>HYPERLINK("https://klasma.github.io/Logging_1481/klagomål/A 48265-2025 FSC-klagomål.docx", "A 48265-2025")</f>
        <v/>
      </c>
      <c r="AB9">
        <f>HYPERLINK("https://klasma.github.io/Logging_1481/klagomålsmail/A 48265-2025 FSC-klagomål mail.docx", "A 48265-2025")</f>
        <v/>
      </c>
      <c r="AC9">
        <f>HYPERLINK("https://klasma.github.io/Logging_1481/tillsyn/A 48265-2025 tillsynsbegäran.docx", "A 48265-2025")</f>
        <v/>
      </c>
      <c r="AD9">
        <f>HYPERLINK("https://klasma.github.io/Logging_1481/tillsynsmail/A 48265-2025 tillsynsbegäran mail.docx", "A 48265-2025")</f>
        <v/>
      </c>
      <c r="AE9">
        <f>HYPERLINK("https://klasma.github.io/Logging_1481/fåglar/A 48265-2025 prioriterade fågelarter.docx", "A 48265-2025")</f>
        <v/>
      </c>
    </row>
    <row r="10" ht="15" customHeight="1">
      <c r="A10" t="inlineStr">
        <is>
          <t>A 23796-2026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46164</v>
      </c>
      <c r="E10" s="1" t="n">
        <v>46306</v>
      </c>
      <c r="F10" t="inlineStr">
        <is>
          <t>VÄSTRA GÖTALANDS LÄN</t>
        </is>
      </c>
      <c r="G10" t="inlineStr">
        <is>
          <t>MÖLNDAL</t>
        </is>
      </c>
      <c r="I10" t="n">
        <v>3.6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Vitplätt
Tjäder</t>
        </is>
      </c>
      <c r="W10">
        <f>HYPERLINK("https://klasma.github.io/Logging_1481/artfynd/A 23796-2026 artfynd.xlsx", "A 23796-2026")</f>
        <v/>
      </c>
      <c r="X10">
        <f>HYPERLINK("https://klasma.github.io/Logging_1481/kartor/A 23796-2026 karta.png", "A 23796-2026")</f>
        <v/>
      </c>
      <c r="Y10">
        <f>HYPERLINK("https://klasma.github.io/Logging_1481/kartor_geotiff/A 23796-2026 georefererad karta.tif", "A 23796-2026")</f>
        <v/>
      </c>
      <c r="AA10">
        <f>HYPERLINK("https://klasma.github.io/Logging_1481/klagomål/A 23796-2026 FSC-klagomål.docx", "A 23796-2026")</f>
        <v/>
      </c>
      <c r="AB10">
        <f>HYPERLINK("https://klasma.github.io/Logging_1481/klagomålsmail/A 23796-2026 FSC-klagomål mail.docx", "A 23796-2026")</f>
        <v/>
      </c>
      <c r="AC10">
        <f>HYPERLINK("https://klasma.github.io/Logging_1481/tillsyn/A 23796-2026 tillsynsbegäran.docx", "A 23796-2026")</f>
        <v/>
      </c>
      <c r="AD10">
        <f>HYPERLINK("https://klasma.github.io/Logging_1481/tillsynsmail/A 23796-2026 tillsynsbegäran mail.docx", "A 23796-2026")</f>
        <v/>
      </c>
      <c r="AE10">
        <f>HYPERLINK("https://klasma.github.io/Logging_1481/fåglar/A 23796-2026 prioriterade fågelarter.docx", "A 23796-2026")</f>
        <v/>
      </c>
    </row>
    <row r="11" ht="15" customHeight="1">
      <c r="A11" t="inlineStr">
        <is>
          <t>A 46384-2025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45925</v>
      </c>
      <c r="E11" s="1" t="n">
        <v>46306</v>
      </c>
      <c r="F11" t="inlineStr">
        <is>
          <t>VÄSTRA GÖTALANDS LÄN</t>
        </is>
      </c>
      <c r="G11" t="inlineStr">
        <is>
          <t>MÖLNDAL</t>
        </is>
      </c>
      <c r="I11" t="n">
        <v>3.1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Duvhök
Tjäder</t>
        </is>
      </c>
      <c r="W11">
        <f>HYPERLINK("https://klasma.github.io/Logging_1481/artfynd/A 46384-2025 artfynd.xlsx", "A 46384-2025")</f>
        <v/>
      </c>
      <c r="X11">
        <f>HYPERLINK("https://klasma.github.io/Logging_1481/kartor/A 46384-2025 karta.png", "A 46384-2025")</f>
        <v/>
      </c>
      <c r="Y11">
        <f>HYPERLINK("https://klasma.github.io/Logging_1481/kartor_geotiff/A 46384-2025 georefererad karta.tif", "A 46384-2025")</f>
        <v/>
      </c>
      <c r="AA11">
        <f>HYPERLINK("https://klasma.github.io/Logging_1481/klagomål/A 46384-2025 FSC-klagomål.docx", "A 46384-2025")</f>
        <v/>
      </c>
      <c r="AB11">
        <f>HYPERLINK("https://klasma.github.io/Logging_1481/klagomålsmail/A 46384-2025 FSC-klagomål mail.docx", "A 46384-2025")</f>
        <v/>
      </c>
      <c r="AC11">
        <f>HYPERLINK("https://klasma.github.io/Logging_1481/tillsyn/A 46384-2025 tillsynsbegäran.docx", "A 46384-2025")</f>
        <v/>
      </c>
      <c r="AD11">
        <f>HYPERLINK("https://klasma.github.io/Logging_1481/tillsynsmail/A 46384-2025 tillsynsbegäran mail.docx", "A 46384-2025")</f>
        <v/>
      </c>
      <c r="AE11">
        <f>HYPERLINK("https://klasma.github.io/Logging_1481/fåglar/A 46384-2025 prioriterade fågelarter.docx", "A 46384-2025")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46306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46306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46306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46306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46306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46306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46306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46306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46306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44586</v>
      </c>
      <c r="E21" s="1" t="n">
        <v>46306</v>
      </c>
      <c r="F21" t="inlineStr">
        <is>
          <t>VÄSTRA GÖTALANDS LÄN</t>
        </is>
      </c>
      <c r="G21" t="inlineStr">
        <is>
          <t>MÖLNDAL</t>
        </is>
      </c>
      <c r="I21" t="n">
        <v>5.6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46306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11256-2024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45371</v>
      </c>
      <c r="E23" s="1" t="n">
        <v>46306</v>
      </c>
      <c r="F23" t="inlineStr">
        <is>
          <t>VÄSTRA GÖTALANDS LÄN</t>
        </is>
      </c>
      <c r="G23" t="inlineStr">
        <is>
          <t>MÖLNDAL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46306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6258-2024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46306</v>
      </c>
      <c r="F25" t="inlineStr">
        <is>
          <t>VÄSTRA GÖTALANDS LÄN</t>
        </is>
      </c>
      <c r="G25" t="inlineStr">
        <is>
          <t>MÖLNDAL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62804-2023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46306</v>
      </c>
      <c r="F26" t="inlineStr">
        <is>
          <t>VÄSTRA GÖTALANDS LÄN</t>
        </is>
      </c>
      <c r="G26" t="inlineStr">
        <is>
          <t>MÖLNDAL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22953-2023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45072</v>
      </c>
      <c r="E27" s="1" t="n">
        <v>46306</v>
      </c>
      <c r="F27" t="inlineStr">
        <is>
          <t>VÄSTRA GÖTALANDS LÄN</t>
        </is>
      </c>
      <c r="G27" t="inlineStr">
        <is>
          <t>MÖLNDAL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46306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43067-2024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45567</v>
      </c>
      <c r="E29" s="1" t="n">
        <v>46306</v>
      </c>
      <c r="F29" t="inlineStr">
        <is>
          <t>VÄSTRA GÖTALANDS LÄN</t>
        </is>
      </c>
      <c r="G29" t="inlineStr">
        <is>
          <t>MÖLNDAL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21536-2024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45441</v>
      </c>
      <c r="E30" s="1" t="n">
        <v>46306</v>
      </c>
      <c r="F30" t="inlineStr">
        <is>
          <t>VÄSTRA GÖTALANDS LÄN</t>
        </is>
      </c>
      <c r="G30" t="inlineStr">
        <is>
          <t>MÖLNDAL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56133-2023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46306</v>
      </c>
      <c r="F31" t="inlineStr">
        <is>
          <t>VÄSTRA GÖTALANDS LÄN</t>
        </is>
      </c>
      <c r="G31" t="inlineStr">
        <is>
          <t>MÖLNDAL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46306</v>
      </c>
      <c r="F32" t="inlineStr">
        <is>
          <t>VÄSTRA GÖTALANDS LÄN</t>
        </is>
      </c>
      <c r="G32" t="inlineStr">
        <is>
          <t>MÖLNDAL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45769</v>
      </c>
      <c r="E33" s="1" t="n">
        <v>46306</v>
      </c>
      <c r="F33" t="inlineStr">
        <is>
          <t>VÄSTRA GÖTALANDS LÄN</t>
        </is>
      </c>
      <c r="G33" t="inlineStr">
        <is>
          <t>MÖLNDAL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60809-2024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46306</v>
      </c>
      <c r="F34" t="inlineStr">
        <is>
          <t>VÄSTRA GÖTALANDS LÄN</t>
        </is>
      </c>
      <c r="G34" t="inlineStr">
        <is>
          <t>MÖLNDAL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46306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12273-2024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46306</v>
      </c>
      <c r="F36" t="inlineStr">
        <is>
          <t>VÄSTRA GÖTALANDS LÄN</t>
        </is>
      </c>
      <c r="G36" t="inlineStr">
        <is>
          <t>MÖLNDAL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46306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33201-2023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45127</v>
      </c>
      <c r="E38" s="1" t="n">
        <v>46306</v>
      </c>
      <c r="F38" t="inlineStr">
        <is>
          <t>VÄSTRA GÖTALANDS LÄN</t>
        </is>
      </c>
      <c r="G38" t="inlineStr">
        <is>
          <t>MÖLNDAL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37570-2025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45880</v>
      </c>
      <c r="E39" s="1" t="n">
        <v>46306</v>
      </c>
      <c r="F39" t="inlineStr">
        <is>
          <t>VÄSTRA GÖTALANDS LÄN</t>
        </is>
      </c>
      <c r="G39" t="inlineStr">
        <is>
          <t>MÖLNDAL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11261-2024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45371</v>
      </c>
      <c r="E40" s="1" t="n">
        <v>46306</v>
      </c>
      <c r="F40" t="inlineStr">
        <is>
          <t>VÄSTRA GÖTALANDS LÄN</t>
        </is>
      </c>
      <c r="G40" t="inlineStr">
        <is>
          <t>MÖLNDAL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44586</v>
      </c>
      <c r="E41" s="1" t="n">
        <v>46306</v>
      </c>
      <c r="F41" t="inlineStr">
        <is>
          <t>VÄSTRA GÖTALANDS LÄN</t>
        </is>
      </c>
      <c r="G41" t="inlineStr">
        <is>
          <t>MÖLNDAL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24771-2023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45084</v>
      </c>
      <c r="E42" s="1" t="n">
        <v>46306</v>
      </c>
      <c r="F42" t="inlineStr">
        <is>
          <t>VÄSTRA GÖTALANDS LÄN</t>
        </is>
      </c>
      <c r="G42" t="inlineStr">
        <is>
          <t>MÖLNDAL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61178-2024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46306</v>
      </c>
      <c r="F43" t="inlineStr">
        <is>
          <t>VÄSTRA GÖTALANDS LÄN</t>
        </is>
      </c>
      <c r="G43" t="inlineStr">
        <is>
          <t>MÖLNDAL</t>
        </is>
      </c>
      <c r="I43" t="n">
        <v>6.6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10661-2026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46078</v>
      </c>
      <c r="E44" s="1" t="n">
        <v>46306</v>
      </c>
      <c r="F44" t="inlineStr">
        <is>
          <t>VÄSTRA GÖTALANDS LÄN</t>
        </is>
      </c>
      <c r="G44" t="inlineStr">
        <is>
          <t>MÖLNDAL</t>
        </is>
      </c>
      <c r="H44" t="inlineStr">
        <is>
          <t>Kommuner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10672-2026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46306</v>
      </c>
      <c r="F45" t="inlineStr">
        <is>
          <t>VÄSTRA GÖTALANDS LÄN</t>
        </is>
      </c>
      <c r="G45" t="inlineStr">
        <is>
          <t>MÖLNDAL</t>
        </is>
      </c>
      <c r="H45" t="inlineStr">
        <is>
          <t>Kommuner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10654-2026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46078</v>
      </c>
      <c r="E46" s="1" t="n">
        <v>46306</v>
      </c>
      <c r="F46" t="inlineStr">
        <is>
          <t>VÄSTRA GÖTALANDS LÄN</t>
        </is>
      </c>
      <c r="G46" t="inlineStr">
        <is>
          <t>MÖLNDAL</t>
        </is>
      </c>
      <c r="H46" t="inlineStr">
        <is>
          <t>Kommuner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21477-2025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45782</v>
      </c>
      <c r="E47" s="1" t="n">
        <v>46306</v>
      </c>
      <c r="F47" t="inlineStr">
        <is>
          <t>VÄSTRA GÖTALANDS LÄN</t>
        </is>
      </c>
      <c r="G47" t="inlineStr">
        <is>
          <t>MÖLNDAL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28291-2026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46306</v>
      </c>
      <c r="F48" t="inlineStr">
        <is>
          <t>VÄSTRA GÖTALANDS LÄN</t>
        </is>
      </c>
      <c r="G48" t="inlineStr">
        <is>
          <t>MÖLNDAL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46230</v>
      </c>
      <c r="E49" s="1" t="n">
        <v>46306</v>
      </c>
      <c r="F49" t="inlineStr">
        <is>
          <t>VÄSTRA GÖTALANDS LÄN</t>
        </is>
      </c>
      <c r="G49" t="inlineStr">
        <is>
          <t>MÖLNDAL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46281</v>
      </c>
      <c r="E50" s="1" t="n">
        <v>46306</v>
      </c>
      <c r="F50" t="inlineStr">
        <is>
          <t>VÄSTRA GÖTALANDS LÄN</t>
        </is>
      </c>
      <c r="G50" t="inlineStr">
        <is>
          <t>MÖLNDAL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32581-2026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46239</v>
      </c>
      <c r="E51" s="1" t="n">
        <v>46306</v>
      </c>
      <c r="F51" t="inlineStr">
        <is>
          <t>VÄSTRA GÖTALANDS LÄN</t>
        </is>
      </c>
      <c r="G51" t="inlineStr">
        <is>
          <t>MÖLNDAL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32941-2026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46306</v>
      </c>
      <c r="F52" t="inlineStr">
        <is>
          <t>VÄSTRA GÖTALANDS LÄN</t>
        </is>
      </c>
      <c r="G52" t="inlineStr">
        <is>
          <t>MÖLNDAL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41561-2026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46301</v>
      </c>
      <c r="E53" s="1" t="n">
        <v>46306</v>
      </c>
      <c r="F53" t="inlineStr">
        <is>
          <t>VÄSTRA GÖTALANDS LÄN</t>
        </is>
      </c>
      <c r="G53" t="inlineStr">
        <is>
          <t>MÖLNDAL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46306</v>
      </c>
      <c r="F54" t="inlineStr">
        <is>
          <t>VÄSTRA GÖTALANDS LÄN</t>
        </is>
      </c>
      <c r="G54" t="inlineStr">
        <is>
          <t>MÖLNDAL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46306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46306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2026-10-11T02:07:23Z</dcterms:created>
  <dcterms:modified xmlns:dcterms="http://purl.org/dc/terms/" xmlns:xsi="http://www.w3.org/2001/XMLSchema-instance" xsi:type="dcterms:W3CDTF">2026-10-11T02:07:23Z</dcterms:modified>
</cp:coreProperties>
</file>