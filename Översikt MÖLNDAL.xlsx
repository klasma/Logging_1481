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45933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45933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2842-2025</t>
        </is>
      </c>
      <c r="B4" s="1" t="n">
        <v>45677</v>
      </c>
      <c r="C4" s="1" t="n">
        <v>45933</v>
      </c>
      <c r="D4" t="inlineStr">
        <is>
          <t>VÄSTRA GÖTALANDS LÄN</t>
        </is>
      </c>
      <c r="E4" t="inlineStr">
        <is>
          <t>MÖLNDAL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Tjäder</t>
        </is>
      </c>
      <c r="S4">
        <f>HYPERLINK("https://klasma.github.io/Logging_1481/artfynd/A 2842-2025 artfynd.xlsx", "A 2842-2025")</f>
        <v/>
      </c>
      <c r="T4">
        <f>HYPERLINK("https://klasma.github.io/Logging_1481/kartor/A 2842-2025 karta.png", "A 2842-2025")</f>
        <v/>
      </c>
      <c r="V4">
        <f>HYPERLINK("https://klasma.github.io/Logging_1481/klagomål/A 2842-2025 FSC-klagomål.docx", "A 2842-2025")</f>
        <v/>
      </c>
      <c r="W4">
        <f>HYPERLINK("https://klasma.github.io/Logging_1481/klagomålsmail/A 2842-2025 FSC-klagomål mail.docx", "A 2842-2025")</f>
        <v/>
      </c>
      <c r="X4">
        <f>HYPERLINK("https://klasma.github.io/Logging_1481/tillsyn/A 2842-2025 tillsynsbegäran.docx", "A 2842-2025")</f>
        <v/>
      </c>
      <c r="Y4">
        <f>HYPERLINK("https://klasma.github.io/Logging_1481/tillsynsmail/A 2842-2025 tillsynsbegäran mail.docx", "A 2842-2025")</f>
        <v/>
      </c>
      <c r="Z4">
        <f>HYPERLINK("https://klasma.github.io/Logging_1481/fåglar/A 2842-2025 prioriterade fågelarter.docx", "A 2842-2025")</f>
        <v/>
      </c>
    </row>
    <row r="5" ht="15" customHeight="1">
      <c r="A5" t="inlineStr">
        <is>
          <t>A 34574-2025</t>
        </is>
      </c>
      <c r="B5" s="1" t="n">
        <v>45847.59914351852</v>
      </c>
      <c r="C5" s="1" t="n">
        <v>45933</v>
      </c>
      <c r="D5" t="inlineStr">
        <is>
          <t>VÄSTRA GÖTALANDS LÄN</t>
        </is>
      </c>
      <c r="E5" t="inlineStr">
        <is>
          <t>MÖLNDAL</t>
        </is>
      </c>
      <c r="G5" t="n">
        <v>7.4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HYPERLINK("https://klasma.github.io/Logging_1481/artfynd/A 34574-2025 artfynd.xlsx", "A 34574-2025")</f>
        <v/>
      </c>
      <c r="T5">
        <f>HYPERLINK("https://klasma.github.io/Logging_1481/kartor/A 34574-2025 karta.png", "A 34574-2025")</f>
        <v/>
      </c>
      <c r="V5">
        <f>HYPERLINK("https://klasma.github.io/Logging_1481/klagomål/A 34574-2025 FSC-klagomål.docx", "A 34574-2025")</f>
        <v/>
      </c>
      <c r="W5">
        <f>HYPERLINK("https://klasma.github.io/Logging_1481/klagomålsmail/A 34574-2025 FSC-klagomål mail.docx", "A 34574-2025")</f>
        <v/>
      </c>
      <c r="X5">
        <f>HYPERLINK("https://klasma.github.io/Logging_1481/tillsyn/A 34574-2025 tillsynsbegäran.docx", "A 34574-2025")</f>
        <v/>
      </c>
      <c r="Y5">
        <f>HYPERLINK("https://klasma.github.io/Logging_1481/tillsynsmail/A 34574-2025 tillsynsbegäran mail.docx", "A 34574-2025")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45933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45933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45933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45933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45933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45933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45933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45933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45933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45933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45933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45933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45933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45933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45933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45933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21536-2024</t>
        </is>
      </c>
      <c r="B22" s="1" t="n">
        <v>45441.59925925926</v>
      </c>
      <c r="C22" s="1" t="n">
        <v>45933</v>
      </c>
      <c r="D22" t="inlineStr">
        <is>
          <t>VÄSTRA GÖTALANDS LÄN</t>
        </is>
      </c>
      <c r="E22" t="inlineStr">
        <is>
          <t>MÖLNDAL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11256-2024</t>
        </is>
      </c>
      <c r="B23" s="1" t="n">
        <v>45371.66233796296</v>
      </c>
      <c r="C23" s="1" t="n">
        <v>45933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38-2022</t>
        </is>
      </c>
      <c r="B24" s="1" t="n">
        <v>44564.37274305556</v>
      </c>
      <c r="C24" s="1" t="n">
        <v>45933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56133-2023</t>
        </is>
      </c>
      <c r="B25" s="1" t="n">
        <v>45240</v>
      </c>
      <c r="C25" s="1" t="n">
        <v>45933</v>
      </c>
      <c r="D25" t="inlineStr">
        <is>
          <t>VÄSTRA GÖTALANDS LÄN</t>
        </is>
      </c>
      <c r="E25" t="inlineStr">
        <is>
          <t>MÖLNDAL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19295-2025</t>
        </is>
      </c>
      <c r="B26" s="1" t="n">
        <v>45769.56212962963</v>
      </c>
      <c r="C26" s="1" t="n">
        <v>45933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8639-2023</t>
        </is>
      </c>
      <c r="B27" s="1" t="n">
        <v>44977.95614583333</v>
      </c>
      <c r="C27" s="1" t="n">
        <v>45933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60809-2024</t>
        </is>
      </c>
      <c r="B28" s="1" t="n">
        <v>45644.61414351852</v>
      </c>
      <c r="C28" s="1" t="n">
        <v>45933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12273-2024</t>
        </is>
      </c>
      <c r="B29" s="1" t="n">
        <v>45378.47817129629</v>
      </c>
      <c r="C29" s="1" t="n">
        <v>45933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6042-2024</t>
        </is>
      </c>
      <c r="B30" s="1" t="n">
        <v>45336</v>
      </c>
      <c r="C30" s="1" t="n">
        <v>45933</v>
      </c>
      <c r="D30" t="inlineStr">
        <is>
          <t>VÄSTRA GÖTALANDS LÄN</t>
        </is>
      </c>
      <c r="E30" t="inlineStr">
        <is>
          <t>MÖLNDAL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45933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88-2025</t>
        </is>
      </c>
      <c r="B32" s="1" t="n">
        <v>45659.46386574074</v>
      </c>
      <c r="C32" s="1" t="n">
        <v>45933</v>
      </c>
      <c r="D32" t="inlineStr">
        <is>
          <t>VÄSTRA GÖTALANDS LÄN</t>
        </is>
      </c>
      <c r="E32" t="inlineStr">
        <is>
          <t>MÖLNDAL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33201-2023</t>
        </is>
      </c>
      <c r="B33" s="1" t="n">
        <v>45127.42379629629</v>
      </c>
      <c r="C33" s="1" t="n">
        <v>45933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12977-2025</t>
        </is>
      </c>
      <c r="B34" s="1" t="n">
        <v>45734.45465277778</v>
      </c>
      <c r="C34" s="1" t="n">
        <v>45933</v>
      </c>
      <c r="D34" t="inlineStr">
        <is>
          <t>VÄSTRA GÖTALANDS LÄN</t>
        </is>
      </c>
      <c r="E34" t="inlineStr">
        <is>
          <t>MÖLNDAL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44926-2025</t>
        </is>
      </c>
      <c r="B35" s="1" t="n">
        <v>45918.55856481481</v>
      </c>
      <c r="C35" s="1" t="n">
        <v>45933</v>
      </c>
      <c r="D35" t="inlineStr">
        <is>
          <t>VÄSTRA GÖTALANDS LÄN</t>
        </is>
      </c>
      <c r="E35" t="inlineStr">
        <is>
          <t>MÖLNDAL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31321-2025</t>
        </is>
      </c>
      <c r="B36" s="1" t="n">
        <v>45833</v>
      </c>
      <c r="C36" s="1" t="n">
        <v>45933</v>
      </c>
      <c r="D36" t="inlineStr">
        <is>
          <t>VÄSTRA GÖTALANDS LÄN</t>
        </is>
      </c>
      <c r="E36" t="inlineStr">
        <is>
          <t>MÖLNDAL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37570-2025</t>
        </is>
      </c>
      <c r="B37" s="1" t="n">
        <v>45880.37358796296</v>
      </c>
      <c r="C37" s="1" t="n">
        <v>45933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61178-2024</t>
        </is>
      </c>
      <c r="B38" s="1" t="n">
        <v>45645</v>
      </c>
      <c r="C38" s="1" t="n">
        <v>45933</v>
      </c>
      <c r="D38" t="inlineStr">
        <is>
          <t>VÄSTRA GÖTALANDS LÄN</t>
        </is>
      </c>
      <c r="E38" t="inlineStr">
        <is>
          <t>MÖLNDAL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61167-2024</t>
        </is>
      </c>
      <c r="B39" s="1" t="n">
        <v>45645</v>
      </c>
      <c r="C39" s="1" t="n">
        <v>45933</v>
      </c>
      <c r="D39" t="inlineStr">
        <is>
          <t>VÄSTRA GÖTALANDS LÄN</t>
        </is>
      </c>
      <c r="E39" t="inlineStr">
        <is>
          <t>MÖLNDAL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46384-2025</t>
        </is>
      </c>
      <c r="B40" s="1" t="n">
        <v>45925</v>
      </c>
      <c r="C40" s="1" t="n">
        <v>45933</v>
      </c>
      <c r="D40" t="inlineStr">
        <is>
          <t>VÄSTRA GÖTALANDS LÄN</t>
        </is>
      </c>
      <c r="E40" t="inlineStr">
        <is>
          <t>MÖLNDAL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46379-2025</t>
        </is>
      </c>
      <c r="B41" s="1" t="n">
        <v>45925</v>
      </c>
      <c r="C41" s="1" t="n">
        <v>45933</v>
      </c>
      <c r="D41" t="inlineStr">
        <is>
          <t>VÄSTRA GÖTALANDS LÄN</t>
        </is>
      </c>
      <c r="E41" t="inlineStr">
        <is>
          <t>MÖLNDAL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45933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45933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45933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45933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22953-2023</t>
        </is>
      </c>
      <c r="B46" s="1" t="n">
        <v>45072</v>
      </c>
      <c r="C46" s="1" t="n">
        <v>45933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21477-2025</t>
        </is>
      </c>
      <c r="B47" s="1" t="n">
        <v>45782.59390046296</v>
      </c>
      <c r="C47" s="1" t="n">
        <v>45933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22033-2025</t>
        </is>
      </c>
      <c r="B48" s="1" t="n">
        <v>45785.29449074074</v>
      </c>
      <c r="C48" s="1" t="n">
        <v>45933</v>
      </c>
      <c r="D48" t="inlineStr">
        <is>
          <t>VÄSTRA GÖTALANDS LÄN</t>
        </is>
      </c>
      <c r="E48" t="inlineStr">
        <is>
          <t>MÖLNDAL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2025-10-03T12:34:10Z</dcterms:created>
  <dcterms:modified xmlns:dcterms="http://purl.org/dc/terms/" xmlns:xsi="http://www.w3.org/2001/XMLSchema-instance" xsi:type="dcterms:W3CDTF">2025-10-03T12:34:10Z</dcterms:modified>
</cp:coreProperties>
</file>