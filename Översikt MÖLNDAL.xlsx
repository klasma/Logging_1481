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46235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46235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46235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62768-2025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46008</v>
      </c>
      <c r="E5" s="1" t="n">
        <v>46235</v>
      </c>
      <c r="F5" t="inlineStr">
        <is>
          <t>VÄSTRA GÖTALANDS LÄN</t>
        </is>
      </c>
      <c r="G5" t="inlineStr">
        <is>
          <t>MÖLNDAL</t>
        </is>
      </c>
      <c r="I5" t="n">
        <v>4.2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4</v>
      </c>
      <c r="U5" t="n">
        <v>4</v>
      </c>
      <c r="V5" s="2" t="inlineStr">
        <is>
          <t>Spillkråka
Tjäder</t>
        </is>
      </c>
      <c r="W5">
        <f>HYPERLINK("https://klasma.github.io/Logging_1481/artfynd/A 62768-2025 artfynd.xlsx", "A 62768-2025")</f>
        <v/>
      </c>
      <c r="X5">
        <f>HYPERLINK("https://klasma.github.io/Logging_1481/kartor/A 62768-2025 karta.png", "A 62768-2025")</f>
        <v/>
      </c>
      <c r="Y5">
        <f>HYPERLINK("https://klasma.github.io/Logging_1481/kartor_geotiff/A 62768-2025 georefererad karta.tif", "A 62768-2025")</f>
        <v/>
      </c>
      <c r="AA5">
        <f>HYPERLINK("https://klasma.github.io/Logging_1481/klagomål/A 62768-2025 FSC-klagomål.docx", "A 62768-2025")</f>
        <v/>
      </c>
      <c r="AB5">
        <f>HYPERLINK("https://klasma.github.io/Logging_1481/klagomålsmail/A 62768-2025 FSC-klagomål mail.docx", "A 62768-2025")</f>
        <v/>
      </c>
      <c r="AC5">
        <f>HYPERLINK("https://klasma.github.io/Logging_1481/tillsyn/A 62768-2025 tillsynsbegäran.docx", "A 62768-2025")</f>
        <v/>
      </c>
      <c r="AD5">
        <f>HYPERLINK("https://klasma.github.io/Logging_1481/tillsynsmail/A 62768-2025 tillsynsbegäran mail.docx", "A 62768-2025")</f>
        <v/>
      </c>
      <c r="AE5">
        <f>HYPERLINK("https://klasma.github.io/Logging_1481/fåglar/A 62768-2025 prioriterade fågelarter.docx", "A 62768-2025")</f>
        <v/>
      </c>
    </row>
    <row r="6" ht="15" customHeight="1">
      <c r="A6" t="inlineStr">
        <is>
          <t>A 46384-2025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45925</v>
      </c>
      <c r="E6" s="1" t="n">
        <v>46235</v>
      </c>
      <c r="F6" t="inlineStr">
        <is>
          <t>VÄSTRA GÖTALANDS LÄN</t>
        </is>
      </c>
      <c r="G6" t="inlineStr">
        <is>
          <t>MÖLNDAL</t>
        </is>
      </c>
      <c r="I6" t="n">
        <v>3.1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2</v>
      </c>
      <c r="V6" s="2" t="inlineStr">
        <is>
          <t>Duvhök
Tjäder</t>
        </is>
      </c>
      <c r="W6">
        <f>HYPERLINK("https://klasma.github.io/Logging_1481/artfynd/A 46384-2025 artfynd.xlsx", "A 46384-2025")</f>
        <v/>
      </c>
      <c r="X6">
        <f>HYPERLINK("https://klasma.github.io/Logging_1481/kartor/A 46384-2025 karta.png", "A 46384-2025")</f>
        <v/>
      </c>
      <c r="Y6">
        <f>HYPERLINK("https://klasma.github.io/Logging_1481/kartor_geotiff/A 46384-2025 georefererad karta.tif", "A 46384-2025")</f>
        <v/>
      </c>
      <c r="AA6">
        <f>HYPERLINK("https://klasma.github.io/Logging_1481/klagomål/A 46384-2025 FSC-klagomål.docx", "A 46384-2025")</f>
        <v/>
      </c>
      <c r="AB6">
        <f>HYPERLINK("https://klasma.github.io/Logging_1481/klagomålsmail/A 46384-2025 FSC-klagomål mail.docx", "A 46384-2025")</f>
        <v/>
      </c>
      <c r="AC6">
        <f>HYPERLINK("https://klasma.github.io/Logging_1481/tillsyn/A 46384-2025 tillsynsbegäran.docx", "A 46384-2025")</f>
        <v/>
      </c>
      <c r="AD6">
        <f>HYPERLINK("https://klasma.github.io/Logging_1481/tillsynsmail/A 46384-2025 tillsynsbegäran mail.docx", "A 46384-2025")</f>
        <v/>
      </c>
      <c r="AE6">
        <f>HYPERLINK("https://klasma.github.io/Logging_1481/fåglar/A 46384-2025 prioriterade fågelarter.docx", "A 46384-2025")</f>
        <v/>
      </c>
    </row>
    <row r="7" ht="15" customHeight="1">
      <c r="A7" t="inlineStr">
        <is>
          <t>A 393-2025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45663</v>
      </c>
      <c r="E7" s="1" t="n">
        <v>46235</v>
      </c>
      <c r="F7" t="inlineStr">
        <is>
          <t>VÄSTRA GÖTALANDS LÄN</t>
        </is>
      </c>
      <c r="G7" t="inlineStr">
        <is>
          <t>MÖLNDAL</t>
        </is>
      </c>
      <c r="I7" t="n">
        <v>5.1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Duvhök
Spillkråka</t>
        </is>
      </c>
      <c r="W7">
        <f>HYPERLINK("https://klasma.github.io/Logging_1481/artfynd/A 393-2025 artfynd.xlsx", "A 393-2025")</f>
        <v/>
      </c>
      <c r="X7">
        <f>HYPERLINK("https://klasma.github.io/Logging_1481/kartor/A 393-2025 karta.png", "A 393-2025")</f>
        <v/>
      </c>
      <c r="Y7">
        <f>HYPERLINK("https://klasma.github.io/Logging_1481/kartor_geotiff/A 393-2025 georefererad karta.tif", "A 393-2025")</f>
        <v/>
      </c>
      <c r="AA7">
        <f>HYPERLINK("https://klasma.github.io/Logging_1481/klagomål/A 393-2025 FSC-klagomål.docx", "A 393-2025")</f>
        <v/>
      </c>
      <c r="AB7">
        <f>HYPERLINK("https://klasma.github.io/Logging_1481/klagomålsmail/A 393-2025 FSC-klagomål mail.docx", "A 393-2025")</f>
        <v/>
      </c>
      <c r="AC7">
        <f>HYPERLINK("https://klasma.github.io/Logging_1481/tillsyn/A 393-2025 tillsynsbegäran.docx", "A 393-2025")</f>
        <v/>
      </c>
      <c r="AD7">
        <f>HYPERLINK("https://klasma.github.io/Logging_1481/tillsynsmail/A 393-2025 tillsynsbegäran mail.docx", "A 393-2025")</f>
        <v/>
      </c>
      <c r="AE7">
        <f>HYPERLINK("https://klasma.github.io/Logging_1481/fåglar/A 393-2025 prioriterade fågelarter.docx", "A 393-2025")</f>
        <v/>
      </c>
    </row>
    <row r="8" ht="15" customHeight="1">
      <c r="A8" t="inlineStr">
        <is>
          <t>A 49789-2023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45212</v>
      </c>
      <c r="E8" s="1" t="n">
        <v>46235</v>
      </c>
      <c r="F8" t="inlineStr">
        <is>
          <t>VÄSTRA GÖTALANDS LÄN</t>
        </is>
      </c>
      <c r="G8" t="inlineStr">
        <is>
          <t>MÖLNDAL</t>
        </is>
      </c>
      <c r="I8" t="n">
        <v>3.8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Klippfrullania
Trubbfjädermossa</t>
        </is>
      </c>
      <c r="W8">
        <f>HYPERLINK("https://klasma.github.io/Logging_1481/artfynd/A 49789-2023 artfynd.xlsx", "A 49789-2023")</f>
        <v/>
      </c>
      <c r="X8">
        <f>HYPERLINK("https://klasma.github.io/Logging_1481/kartor/A 49789-2023 karta.png", "A 49789-2023")</f>
        <v/>
      </c>
      <c r="Y8">
        <f>HYPERLINK("https://klasma.github.io/Logging_1481/kartor_geotiff/A 49789-2023 georefererad karta.tif", "A 49789-2023")</f>
        <v/>
      </c>
      <c r="AA8">
        <f>HYPERLINK("https://klasma.github.io/Logging_1481/klagomål/A 49789-2023 FSC-klagomål.docx", "A 49789-2023")</f>
        <v/>
      </c>
      <c r="AB8">
        <f>HYPERLINK("https://klasma.github.io/Logging_1481/klagomålsmail/A 49789-2023 FSC-klagomål mail.docx", "A 49789-2023")</f>
        <v/>
      </c>
      <c r="AC8">
        <f>HYPERLINK("https://klasma.github.io/Logging_1481/tillsyn/A 49789-2023 tillsynsbegäran.docx", "A 49789-2023")</f>
        <v/>
      </c>
      <c r="AD8">
        <f>HYPERLINK("https://klasma.github.io/Logging_1481/tillsynsmail/A 49789-2023 tillsynsbegäran mail.docx", "A 49789-2023")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46235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Hasselmus</t>
        </is>
      </c>
      <c r="W9">
        <f>HYPERLINK("https://klasma.github.io/Logging_1481/artfynd/A 42415-2022 artfynd.xlsx", "A 42415-2022")</f>
        <v/>
      </c>
      <c r="X9">
        <f>HYPERLINK("https://klasma.github.io/Logging_1481/kartor/A 42415-2022 karta.png", "A 42415-2022")</f>
        <v/>
      </c>
      <c r="Y9">
        <f>HYPERLINK("https://klasma.github.io/Logging_1481/kartor_geotiff/A 42415-2022 georefererad karta.tif", "A 42415-2022")</f>
        <v/>
      </c>
      <c r="AA9">
        <f>HYPERLINK("https://klasma.github.io/Logging_1481/klagomål/A 42415-2022 FSC-klagomål.docx", "A 42415-2022")</f>
        <v/>
      </c>
      <c r="AB9">
        <f>HYPERLINK("https://klasma.github.io/Logging_1481/klagomålsmail/A 42415-2022 FSC-klagomål mail.docx", "A 42415-2022")</f>
        <v/>
      </c>
      <c r="AC9">
        <f>HYPERLINK("https://klasma.github.io/Logging_1481/tillsyn/A 42415-2022 tillsynsbegäran.docx", "A 42415-2022")</f>
        <v/>
      </c>
      <c r="AD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46235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Grönsångare</t>
        </is>
      </c>
      <c r="W10">
        <f>HYPERLINK("https://klasma.github.io/Logging_1481/artfynd/A 3678-2022 artfynd.xlsx", "A 3678-2022")</f>
        <v/>
      </c>
      <c r="X10">
        <f>HYPERLINK("https://klasma.github.io/Logging_1481/kartor/A 3678-2022 karta.png", "A 3678-2022")</f>
        <v/>
      </c>
      <c r="Y10">
        <f>HYPERLINK("https://klasma.github.io/Logging_1481/kartor_geotiff/A 3678-2022 georefererad karta.tif", "A 3678-2022")</f>
        <v/>
      </c>
      <c r="AA10">
        <f>HYPERLINK("https://klasma.github.io/Logging_1481/klagomål/A 3678-2022 FSC-klagomål.docx", "A 3678-2022")</f>
        <v/>
      </c>
      <c r="AB10">
        <f>HYPERLINK("https://klasma.github.io/Logging_1481/klagomålsmail/A 3678-2022 FSC-klagomål mail.docx", "A 3678-2022")</f>
        <v/>
      </c>
      <c r="AC10">
        <f>HYPERLINK("https://klasma.github.io/Logging_1481/tillsyn/A 3678-2022 tillsynsbegäran.docx", "A 3678-2022")</f>
        <v/>
      </c>
      <c r="AD10">
        <f>HYPERLINK("https://klasma.github.io/Logging_1481/tillsynsmail/A 3678-2022 tillsynsbegäran mail.docx", "A 3678-2022")</f>
        <v/>
      </c>
      <c r="AE10">
        <f>HYPERLINK("https://klasma.github.io/Logging_1481/fåglar/A 3678-2022 prioriterade fågelarter.docx", "A 3678-2022")</f>
        <v/>
      </c>
    </row>
    <row r="11" ht="15" customHeight="1">
      <c r="A11" t="inlineStr">
        <is>
          <t>A 44926-2025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45918</v>
      </c>
      <c r="E11" s="1" t="n">
        <v>46235</v>
      </c>
      <c r="F11" t="inlineStr">
        <is>
          <t>VÄSTRA GÖTALANDS LÄN</t>
        </is>
      </c>
      <c r="G11" t="inlineStr">
        <is>
          <t>MÖLNDAL</t>
        </is>
      </c>
      <c r="I11" t="n">
        <v>3.8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Revlummer</t>
        </is>
      </c>
      <c r="W11">
        <f>HYPERLINK("https://klasma.github.io/Logging_1481/artfynd/A 44926-2025 artfynd.xlsx", "A 44926-2025")</f>
        <v/>
      </c>
      <c r="X11">
        <f>HYPERLINK("https://klasma.github.io/Logging_1481/kartor/A 44926-2025 karta.png", "A 44926-2025")</f>
        <v/>
      </c>
      <c r="Y11">
        <f>HYPERLINK("https://klasma.github.io/Logging_1481/kartor_geotiff/A 44926-2025 georefererad karta.tif", "A 44926-2025")</f>
        <v/>
      </c>
      <c r="AA11">
        <f>HYPERLINK("https://klasma.github.io/Logging_1481/klagomål/A 44926-2025 FSC-klagomål.docx", "A 44926-2025")</f>
        <v/>
      </c>
      <c r="AB11">
        <f>HYPERLINK("https://klasma.github.io/Logging_1481/klagomålsmail/A 44926-2025 FSC-klagomål mail.docx", "A 44926-2025")</f>
        <v/>
      </c>
      <c r="AC11">
        <f>HYPERLINK("https://klasma.github.io/Logging_1481/tillsyn/A 44926-2025 tillsynsbegäran.docx", "A 44926-2025")</f>
        <v/>
      </c>
      <c r="AD11">
        <f>HYPERLINK("https://klasma.github.io/Logging_1481/tillsynsmail/A 44926-2025 tillsynsbegäran mail.docx", "A 44926-2025")</f>
        <v/>
      </c>
    </row>
    <row r="12" ht="15" customHeight="1">
      <c r="A12" t="inlineStr">
        <is>
          <t>A 48265-2025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45933</v>
      </c>
      <c r="E12" s="1" t="n">
        <v>46235</v>
      </c>
      <c r="F12" t="inlineStr">
        <is>
          <t>VÄSTRA GÖTALANDS LÄN</t>
        </is>
      </c>
      <c r="G12" t="inlineStr">
        <is>
          <t>MÖLNDAL</t>
        </is>
      </c>
      <c r="I12" t="n">
        <v>2.1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48265-2025 artfynd.xlsx", "A 48265-2025")</f>
        <v/>
      </c>
      <c r="X12">
        <f>HYPERLINK("https://klasma.github.io/Logging_1481/kartor/A 48265-2025 karta.png", "A 48265-2025")</f>
        <v/>
      </c>
      <c r="Y12">
        <f>HYPERLINK("https://klasma.github.io/Logging_1481/kartor_geotiff/A 48265-2025 georefererad karta.tif", "A 48265-2025")</f>
        <v/>
      </c>
      <c r="AA12">
        <f>HYPERLINK("https://klasma.github.io/Logging_1481/klagomål/A 48265-2025 FSC-klagomål.docx", "A 48265-2025")</f>
        <v/>
      </c>
      <c r="AB12">
        <f>HYPERLINK("https://klasma.github.io/Logging_1481/klagomålsmail/A 48265-2025 FSC-klagomål mail.docx", "A 48265-2025")</f>
        <v/>
      </c>
      <c r="AC12">
        <f>HYPERLINK("https://klasma.github.io/Logging_1481/tillsyn/A 48265-2025 tillsynsbegäran.docx", "A 48265-2025")</f>
        <v/>
      </c>
      <c r="AD12">
        <f>HYPERLINK("https://klasma.github.io/Logging_1481/tillsynsmail/A 48265-2025 tillsynsbegäran mail.docx", "A 48265-2025")</f>
        <v/>
      </c>
      <c r="AE12">
        <f>HYPERLINK("https://klasma.github.io/Logging_1481/fåglar/A 48265-2025 prioriterade fågelarter.docx", "A 48265-2025")</f>
        <v/>
      </c>
    </row>
    <row r="13" ht="15" customHeight="1">
      <c r="A13" t="inlineStr">
        <is>
          <t>A 46379-2025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45925</v>
      </c>
      <c r="E13" s="1" t="n">
        <v>46235</v>
      </c>
      <c r="F13" t="inlineStr">
        <is>
          <t>VÄSTRA GÖTALANDS LÄN</t>
        </is>
      </c>
      <c r="G13" t="inlineStr">
        <is>
          <t>MÖLNDAL</t>
        </is>
      </c>
      <c r="I13" t="n">
        <v>4.8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Fiskgjuse</t>
        </is>
      </c>
      <c r="W13">
        <f>HYPERLINK("https://klasma.github.io/Logging_1481/artfynd/A 46379-2025 artfynd.xlsx", "A 46379-2025")</f>
        <v/>
      </c>
      <c r="X13">
        <f>HYPERLINK("https://klasma.github.io/Logging_1481/kartor/A 46379-2025 karta.png", "A 46379-2025")</f>
        <v/>
      </c>
      <c r="Y13">
        <f>HYPERLINK("https://klasma.github.io/Logging_1481/kartor_geotiff/A 46379-2025 georefererad karta.tif", "A 46379-2025")</f>
        <v/>
      </c>
      <c r="AA13">
        <f>HYPERLINK("https://klasma.github.io/Logging_1481/klagomål/A 46379-2025 FSC-klagomål.docx", "A 46379-2025")</f>
        <v/>
      </c>
      <c r="AB13">
        <f>HYPERLINK("https://klasma.github.io/Logging_1481/klagomålsmail/A 46379-2025 FSC-klagomål mail.docx", "A 46379-2025")</f>
        <v/>
      </c>
      <c r="AC13">
        <f>HYPERLINK("https://klasma.github.io/Logging_1481/tillsyn/A 46379-2025 tillsynsbegäran.docx", "A 46379-2025")</f>
        <v/>
      </c>
      <c r="AD13">
        <f>HYPERLINK("https://klasma.github.io/Logging_1481/tillsynsmail/A 46379-2025 tillsynsbegäran mail.docx", "A 46379-2025")</f>
        <v/>
      </c>
      <c r="AE13">
        <f>HYPERLINK("https://klasma.github.io/Logging_1481/fåglar/A 46379-2025 prioriterade fågelarter.docx", "A 46379-2025")</f>
        <v/>
      </c>
    </row>
    <row r="14" ht="15" customHeight="1">
      <c r="A14" t="inlineStr">
        <is>
          <t>A 23796-2026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46235</v>
      </c>
      <c r="F14" t="inlineStr">
        <is>
          <t>VÄSTRA GÖTALANDS LÄN</t>
        </is>
      </c>
      <c r="G14" t="inlineStr">
        <is>
          <t>MÖLNDAL</t>
        </is>
      </c>
      <c r="I14" t="n">
        <v>3.6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Tjäder</t>
        </is>
      </c>
      <c r="W14">
        <f>HYPERLINK("https://klasma.github.io/Logging_1481/artfynd/A 23796-2026 artfynd.xlsx", "A 23796-2026")</f>
        <v/>
      </c>
      <c r="X14">
        <f>HYPERLINK("https://klasma.github.io/Logging_1481/kartor/A 23796-2026 karta.png", "A 23796-2026")</f>
        <v/>
      </c>
      <c r="Y14">
        <f>HYPERLINK("https://klasma.github.io/Logging_1481/kartor_geotiff/A 23796-2026 georefererad karta.tif", "A 23796-2026")</f>
        <v/>
      </c>
      <c r="AA14">
        <f>HYPERLINK("https://klasma.github.io/Logging_1481/klagomål/A 23796-2026 FSC-klagomål.docx", "A 23796-2026")</f>
        <v/>
      </c>
      <c r="AB14">
        <f>HYPERLINK("https://klasma.github.io/Logging_1481/klagomålsmail/A 23796-2026 FSC-klagomål mail.docx", "A 23796-2026")</f>
        <v/>
      </c>
      <c r="AC14">
        <f>HYPERLINK("https://klasma.github.io/Logging_1481/tillsyn/A 23796-2026 tillsynsbegäran.docx", "A 23796-2026")</f>
        <v/>
      </c>
      <c r="AD14">
        <f>HYPERLINK("https://klasma.github.io/Logging_1481/tillsynsmail/A 23796-2026 tillsynsbegäran mail.docx", "A 23796-2026")</f>
        <v/>
      </c>
      <c r="AE14">
        <f>HYPERLINK("https://klasma.github.io/Logging_1481/fåglar/A 23796-2026 prioriterade fågelarter.docx", "A 23796-2026")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46235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46235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46235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46235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46235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46235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46235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46235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3676-2022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44586</v>
      </c>
      <c r="E23" s="1" t="n">
        <v>46235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26650-2022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44739</v>
      </c>
      <c r="E24" s="1" t="n">
        <v>46235</v>
      </c>
      <c r="F24" t="inlineStr">
        <is>
          <t>VÄSTRA GÖTALANDS LÄN</t>
        </is>
      </c>
      <c r="G24" t="inlineStr">
        <is>
          <t>MÖLNDAL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24771-2023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45084</v>
      </c>
      <c r="E25" s="1" t="n">
        <v>46235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45337</v>
      </c>
      <c r="E26" s="1" t="n">
        <v>46235</v>
      </c>
      <c r="F26" t="inlineStr">
        <is>
          <t>VÄSTRA GÖTALANDS LÄN</t>
        </is>
      </c>
      <c r="G26" t="inlineStr">
        <is>
          <t>MÖLNDAL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11256-2024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46235</v>
      </c>
      <c r="F27" t="inlineStr">
        <is>
          <t>VÄSTRA GÖTALANDS LÄN</t>
        </is>
      </c>
      <c r="G27" t="inlineStr">
        <is>
          <t>MÖLNDAL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46235</v>
      </c>
      <c r="F28" t="inlineStr">
        <is>
          <t>VÄSTRA GÖTALANDS LÄN</t>
        </is>
      </c>
      <c r="G28" t="inlineStr">
        <is>
          <t>MÖLNDAL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12977-2025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45734</v>
      </c>
      <c r="E29" s="1" t="n">
        <v>46235</v>
      </c>
      <c r="F29" t="inlineStr">
        <is>
          <t>VÄSTRA GÖTALANDS LÄN</t>
        </is>
      </c>
      <c r="G29" t="inlineStr">
        <is>
          <t>MÖLNDAL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46235</v>
      </c>
      <c r="F30" t="inlineStr">
        <is>
          <t>VÄSTRA GÖTALANDS LÄN</t>
        </is>
      </c>
      <c r="G30" t="inlineStr">
        <is>
          <t>MÖLNDAL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60809-2024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45644</v>
      </c>
      <c r="E31" s="1" t="n">
        <v>46235</v>
      </c>
      <c r="F31" t="inlineStr">
        <is>
          <t>VÄSTRA GÖTALANDS LÄN</t>
        </is>
      </c>
      <c r="G31" t="inlineStr">
        <is>
          <t>MÖLNDAL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45659</v>
      </c>
      <c r="E32" s="1" t="n">
        <v>46235</v>
      </c>
      <c r="F32" t="inlineStr">
        <is>
          <t>VÄSTRA GÖTALANDS LÄN</t>
        </is>
      </c>
      <c r="G32" t="inlineStr">
        <is>
          <t>MÖLNDAL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45782</v>
      </c>
      <c r="E33" s="1" t="n">
        <v>46235</v>
      </c>
      <c r="F33" t="inlineStr">
        <is>
          <t>VÄSTRA GÖTALANDS LÄN</t>
        </is>
      </c>
      <c r="G33" t="inlineStr">
        <is>
          <t>MÖLNDAL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62804-2023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45271</v>
      </c>
      <c r="E34" s="1" t="n">
        <v>46235</v>
      </c>
      <c r="F34" t="inlineStr">
        <is>
          <t>VÄSTRA GÖTALANDS LÄN</t>
        </is>
      </c>
      <c r="G34" t="inlineStr">
        <is>
          <t>MÖLNDAL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61178-2024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46235</v>
      </c>
      <c r="F35" t="inlineStr">
        <is>
          <t>VÄSTRA GÖTALANDS LÄN</t>
        </is>
      </c>
      <c r="G35" t="inlineStr">
        <is>
          <t>MÖLNDAL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46196</v>
      </c>
      <c r="E36" s="1" t="n">
        <v>46235</v>
      </c>
      <c r="F36" t="inlineStr">
        <is>
          <t>VÄSTRA GÖTALANDS LÄN</t>
        </is>
      </c>
      <c r="G36" t="inlineStr">
        <is>
          <t>MÖLNDAL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22953-2023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45072</v>
      </c>
      <c r="E37" s="1" t="n">
        <v>46235</v>
      </c>
      <c r="F37" t="inlineStr">
        <is>
          <t>VÄSTRA GÖTALANDS LÄN</t>
        </is>
      </c>
      <c r="G37" t="inlineStr">
        <is>
          <t>MÖLNDAL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31828-2026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46230</v>
      </c>
      <c r="E38" s="1" t="n">
        <v>46235</v>
      </c>
      <c r="F38" t="inlineStr">
        <is>
          <t>VÄSTRA GÖTALANDS LÄN</t>
        </is>
      </c>
      <c r="G38" t="inlineStr">
        <is>
          <t>MÖLNDAL</t>
        </is>
      </c>
      <c r="I38" t="n">
        <v>7.6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43067-2024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45567</v>
      </c>
      <c r="E39" s="1" t="n">
        <v>46235</v>
      </c>
      <c r="F39" t="inlineStr">
        <is>
          <t>VÄSTRA GÖTALANDS LÄN</t>
        </is>
      </c>
      <c r="G39" t="inlineStr">
        <is>
          <t>MÖLNDAL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21536-2024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46235</v>
      </c>
      <c r="F40" t="inlineStr">
        <is>
          <t>VÄSTRA GÖTALANDS LÄN</t>
        </is>
      </c>
      <c r="G40" t="inlineStr">
        <is>
          <t>MÖLNDAL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10661-2026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46235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10672-2026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46235</v>
      </c>
      <c r="F42" t="inlineStr">
        <is>
          <t>VÄSTRA GÖTALANDS LÄN</t>
        </is>
      </c>
      <c r="G42" t="inlineStr">
        <is>
          <t>MÖLNDAL</t>
        </is>
      </c>
      <c r="H42" t="inlineStr">
        <is>
          <t>Kommuner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10654-2026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46078</v>
      </c>
      <c r="E43" s="1" t="n">
        <v>46235</v>
      </c>
      <c r="F43" t="inlineStr">
        <is>
          <t>VÄSTRA GÖTALANDS LÄN</t>
        </is>
      </c>
      <c r="G43" t="inlineStr">
        <is>
          <t>MÖLNDAL</t>
        </is>
      </c>
      <c r="H43" t="inlineStr">
        <is>
          <t>Kommuner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45240</v>
      </c>
      <c r="E44" s="1" t="n">
        <v>46235</v>
      </c>
      <c r="F44" t="inlineStr">
        <is>
          <t>VÄSTRA GÖTALANDS LÄN</t>
        </is>
      </c>
      <c r="G44" t="inlineStr">
        <is>
          <t>MÖLNDAL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19295-2025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45769</v>
      </c>
      <c r="E45" s="1" t="n">
        <v>46235</v>
      </c>
      <c r="F45" t="inlineStr">
        <is>
          <t>VÄSTRA GÖTALANDS LÄN</t>
        </is>
      </c>
      <c r="G45" t="inlineStr">
        <is>
          <t>MÖLNDAL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12273-2024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45378</v>
      </c>
      <c r="E46" s="1" t="n">
        <v>46235</v>
      </c>
      <c r="F46" t="inlineStr">
        <is>
          <t>VÄSTRA GÖTALANDS LÄN</t>
        </is>
      </c>
      <c r="G46" t="inlineStr">
        <is>
          <t>MÖLNDAL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45321</v>
      </c>
      <c r="E47" s="1" t="n">
        <v>46235</v>
      </c>
      <c r="F47" t="inlineStr">
        <is>
          <t>VÄSTRA GÖTALANDS LÄN</t>
        </is>
      </c>
      <c r="G47" t="inlineStr">
        <is>
          <t>MÖLNDAL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46235</v>
      </c>
      <c r="F48" t="inlineStr">
        <is>
          <t>VÄSTRA GÖTALANDS LÄN</t>
        </is>
      </c>
      <c r="G48" t="inlineStr">
        <is>
          <t>MÖLNDAL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45127</v>
      </c>
      <c r="E49" s="1" t="n">
        <v>46235</v>
      </c>
      <c r="F49" t="inlineStr">
        <is>
          <t>VÄSTRA GÖTALANDS LÄN</t>
        </is>
      </c>
      <c r="G49" t="inlineStr">
        <is>
          <t>MÖLNDAL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37570-2025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45880</v>
      </c>
      <c r="E50" s="1" t="n">
        <v>46235</v>
      </c>
      <c r="F50" t="inlineStr">
        <is>
          <t>VÄSTRA GÖTALANDS LÄN</t>
        </is>
      </c>
      <c r="G50" t="inlineStr">
        <is>
          <t>MÖLNDAL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921-2025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45737</v>
      </c>
      <c r="E51" s="1" t="n">
        <v>46235</v>
      </c>
      <c r="F51" t="inlineStr">
        <is>
          <t>VÄSTRA GÖTALANDS LÄN</t>
        </is>
      </c>
      <c r="G51" t="inlineStr">
        <is>
          <t>MÖLNDAL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14-2026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46028</v>
      </c>
      <c r="E52" s="1" t="n">
        <v>46235</v>
      </c>
      <c r="F52" t="inlineStr">
        <is>
          <t>VÄSTRA GÖTALANDS LÄN</t>
        </is>
      </c>
      <c r="G52" t="inlineStr">
        <is>
          <t>MÖLNDAL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2026-08-01T01:47:34Z</dcterms:created>
  <dcterms:modified xmlns:dcterms="http://purl.org/dc/terms/" xmlns:xsi="http://www.w3.org/2001/XMLSchema-instance" xsi:type="dcterms:W3CDTF">2026-08-01T01:47:34Z</dcterms:modified>
</cp:coreProperties>
</file>