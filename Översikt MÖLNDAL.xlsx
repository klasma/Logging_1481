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46131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46131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46131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46131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46131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46131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46131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49789-2023</t>
        </is>
      </c>
      <c r="B9" s="1" t="n">
        <v>45212</v>
      </c>
      <c r="C9" s="1" t="n">
        <v>46131</v>
      </c>
      <c r="D9" t="inlineStr">
        <is>
          <t>VÄSTRA GÖTALANDS LÄN</t>
        </is>
      </c>
      <c r="E9" t="inlineStr">
        <is>
          <t>MÖLNDAL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Trubbfjädermossa</t>
        </is>
      </c>
      <c r="S9">
        <f>HYPERLINK("https://klasma.github.io/Logging_1481/artfynd/A 49789-2023 artfynd.xlsx", "A 49789-2023")</f>
        <v/>
      </c>
      <c r="T9">
        <f>HYPERLINK("https://klasma.github.io/Logging_1481/kartor/A 49789-2023 karta.png", "A 49789-2023")</f>
        <v/>
      </c>
      <c r="V9">
        <f>HYPERLINK("https://klasma.github.io/Logging_1481/klagomål/A 49789-2023 FSC-klagomål.docx", "A 49789-2023")</f>
        <v/>
      </c>
      <c r="W9">
        <f>HYPERLINK("https://klasma.github.io/Logging_1481/klagomålsmail/A 49789-2023 FSC-klagomål mail.docx", "A 49789-2023")</f>
        <v/>
      </c>
      <c r="X9">
        <f>HYPERLINK("https://klasma.github.io/Logging_1481/tillsyn/A 49789-2023 tillsynsbegäran.docx", "A 49789-2023")</f>
        <v/>
      </c>
      <c r="Y9">
        <f>HYPERLINK("https://klasma.github.io/Logging_1481/tillsynsmail/A 49789-2023 tillsynsbegäran mail.docx", "A 49789-2023")</f>
        <v/>
      </c>
    </row>
    <row r="10" ht="15" customHeight="1">
      <c r="A10" t="inlineStr">
        <is>
          <t>A 65698-2021</t>
        </is>
      </c>
      <c r="B10" s="1" t="n">
        <v>44516.6296875</v>
      </c>
      <c r="C10" s="1" t="n">
        <v>46131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46131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42380-2022</t>
        </is>
      </c>
      <c r="B12" s="1" t="n">
        <v>44831</v>
      </c>
      <c r="C12" s="1" t="n">
        <v>46131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3673-2022</t>
        </is>
      </c>
      <c r="B13" s="1" t="n">
        <v>44586.54415509259</v>
      </c>
      <c r="C13" s="1" t="n">
        <v>46131</v>
      </c>
      <c r="D13" t="inlineStr">
        <is>
          <t>VÄSTRA GÖTALANDS LÄN</t>
        </is>
      </c>
      <c r="E13" t="inlineStr">
        <is>
          <t>MÖLNDAL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46131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46131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46131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46131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46131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11256-2024</t>
        </is>
      </c>
      <c r="B19" s="1" t="n">
        <v>45371.66233796296</v>
      </c>
      <c r="C19" s="1" t="n">
        <v>46131</v>
      </c>
      <c r="D19" t="inlineStr">
        <is>
          <t>VÄSTRA GÖTALANDS LÄN</t>
        </is>
      </c>
      <c r="E19" t="inlineStr">
        <is>
          <t>MÖLNDAL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46131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46131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22033-2025</t>
        </is>
      </c>
      <c r="B22" s="1" t="n">
        <v>45785.29449074074</v>
      </c>
      <c r="C22" s="1" t="n">
        <v>46131</v>
      </c>
      <c r="D22" t="inlineStr">
        <is>
          <t>VÄSTRA GÖTALANDS LÄN</t>
        </is>
      </c>
      <c r="E22" t="inlineStr">
        <is>
          <t>MÖLNDAL</t>
        </is>
      </c>
      <c r="G22" t="n">
        <v>5.2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46131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46131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8639-2023</t>
        </is>
      </c>
      <c r="B25" s="1" t="n">
        <v>44977.95614583333</v>
      </c>
      <c r="C25" s="1" t="n">
        <v>46131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60809-2024</t>
        </is>
      </c>
      <c r="B26" s="1" t="n">
        <v>45644.61414351852</v>
      </c>
      <c r="C26" s="1" t="n">
        <v>46131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46131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88-2025</t>
        </is>
      </c>
      <c r="B28" s="1" t="n">
        <v>45659.46386574074</v>
      </c>
      <c r="C28" s="1" t="n">
        <v>46131</v>
      </c>
      <c r="D28" t="inlineStr">
        <is>
          <t>VÄSTRA GÖTALANDS LÄN</t>
        </is>
      </c>
      <c r="E28" t="inlineStr">
        <is>
          <t>MÖLNDAL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46131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46131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62768-2025</t>
        </is>
      </c>
      <c r="B31" s="1" t="n">
        <v>46008.59856481481</v>
      </c>
      <c r="C31" s="1" t="n">
        <v>46131</v>
      </c>
      <c r="D31" t="inlineStr">
        <is>
          <t>VÄSTRA GÖTALANDS LÄN</t>
        </is>
      </c>
      <c r="E31" t="inlineStr">
        <is>
          <t>MÖLNDAL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61178-2024</t>
        </is>
      </c>
      <c r="B32" s="1" t="n">
        <v>45645</v>
      </c>
      <c r="C32" s="1" t="n">
        <v>46131</v>
      </c>
      <c r="D32" t="inlineStr">
        <is>
          <t>VÄSTRA GÖTALANDS LÄN</t>
        </is>
      </c>
      <c r="E32" t="inlineStr">
        <is>
          <t>MÖLNDAL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43067-2024</t>
        </is>
      </c>
      <c r="B33" s="1" t="n">
        <v>45567.47446759259</v>
      </c>
      <c r="C33" s="1" t="n">
        <v>46131</v>
      </c>
      <c r="D33" t="inlineStr">
        <is>
          <t>VÄSTRA GÖTALANDS LÄN</t>
        </is>
      </c>
      <c r="E33" t="inlineStr">
        <is>
          <t>MÖLNDAL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21536-2024</t>
        </is>
      </c>
      <c r="B34" s="1" t="n">
        <v>45441.59925925926</v>
      </c>
      <c r="C34" s="1" t="n">
        <v>46131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56133-2023</t>
        </is>
      </c>
      <c r="B35" s="1" t="n">
        <v>45240</v>
      </c>
      <c r="C35" s="1" t="n">
        <v>46131</v>
      </c>
      <c r="D35" t="inlineStr">
        <is>
          <t>VÄSTRA GÖTALANDS LÄN</t>
        </is>
      </c>
      <c r="E35" t="inlineStr">
        <is>
          <t>MÖLNDAL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31321-2025</t>
        </is>
      </c>
      <c r="B36" s="1" t="n">
        <v>45833</v>
      </c>
      <c r="C36" s="1" t="n">
        <v>46131</v>
      </c>
      <c r="D36" t="inlineStr">
        <is>
          <t>VÄSTRA GÖTALANDS LÄN</t>
        </is>
      </c>
      <c r="E36" t="inlineStr">
        <is>
          <t>MÖLNDAL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46131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10661-2026</t>
        </is>
      </c>
      <c r="B38" s="1" t="n">
        <v>46078.37611111111</v>
      </c>
      <c r="C38" s="1" t="n">
        <v>46131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10672-2026</t>
        </is>
      </c>
      <c r="B39" s="1" t="n">
        <v>46078.40140046296</v>
      </c>
      <c r="C39" s="1" t="n">
        <v>46131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10654-2026</t>
        </is>
      </c>
      <c r="B40" s="1" t="n">
        <v>46078.35840277778</v>
      </c>
      <c r="C40" s="1" t="n">
        <v>46131</v>
      </c>
      <c r="D40" t="inlineStr">
        <is>
          <t>VÄSTRA GÖTALANDS LÄN</t>
        </is>
      </c>
      <c r="E40" t="inlineStr">
        <is>
          <t>MÖLNDAL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46131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46379-2025</t>
        </is>
      </c>
      <c r="B42" s="1" t="n">
        <v>45925</v>
      </c>
      <c r="C42" s="1" t="n">
        <v>46131</v>
      </c>
      <c r="D42" t="inlineStr">
        <is>
          <t>VÄSTRA GÖTALANDS LÄN</t>
        </is>
      </c>
      <c r="E42" t="inlineStr">
        <is>
          <t>MÖLNDAL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61167-2024</t>
        </is>
      </c>
      <c r="B43" s="1" t="n">
        <v>45645</v>
      </c>
      <c r="C43" s="1" t="n">
        <v>46131</v>
      </c>
      <c r="D43" t="inlineStr">
        <is>
          <t>VÄSTRA GÖTALANDS LÄN</t>
        </is>
      </c>
      <c r="E43" t="inlineStr">
        <is>
          <t>MÖLNDAL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48265-2025</t>
        </is>
      </c>
      <c r="B44" s="1" t="n">
        <v>45933</v>
      </c>
      <c r="C44" s="1" t="n">
        <v>46131</v>
      </c>
      <c r="D44" t="inlineStr">
        <is>
          <t>VÄSTRA GÖTALANDS LÄN</t>
        </is>
      </c>
      <c r="E44" t="inlineStr">
        <is>
          <t>MÖLNDAL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45321.673125</v>
      </c>
      <c r="C45" s="1" t="n">
        <v>46131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46131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3676-2022</t>
        </is>
      </c>
      <c r="B47" s="1" t="n">
        <v>44586</v>
      </c>
      <c r="C47" s="1" t="n">
        <v>46131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24771-2023</t>
        </is>
      </c>
      <c r="B48" s="1" t="n">
        <v>45084.64277777778</v>
      </c>
      <c r="C48" s="1" t="n">
        <v>46131</v>
      </c>
      <c r="D48" t="inlineStr">
        <is>
          <t>VÄSTRA GÖTALANDS LÄN</t>
        </is>
      </c>
      <c r="E48" t="inlineStr">
        <is>
          <t>MÖLNDAL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62804-2023</t>
        </is>
      </c>
      <c r="B49" s="1" t="n">
        <v>45271</v>
      </c>
      <c r="C49" s="1" t="n">
        <v>46131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22953-2023</t>
        </is>
      </c>
      <c r="B50" s="1" t="n">
        <v>45072</v>
      </c>
      <c r="C50" s="1" t="n">
        <v>46131</v>
      </c>
      <c r="D50" t="inlineStr">
        <is>
          <t>VÄSTRA GÖTALANDS LÄN</t>
        </is>
      </c>
      <c r="E50" t="inlineStr">
        <is>
          <t>MÖLNDAL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2026-04-19T10:27:28Z</dcterms:created>
  <dcterms:modified xmlns:dcterms="http://purl.org/dc/terms/" xmlns:xsi="http://www.w3.org/2001/XMLSchema-instance" xsi:type="dcterms:W3CDTF">2026-04-19T10:27:28Z</dcterms:modified>
</cp:coreProperties>
</file>