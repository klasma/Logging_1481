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46288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46288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4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8</v>
      </c>
      <c r="T3" t="n">
        <v>12</v>
      </c>
      <c r="U3" t="n">
        <v>12</v>
      </c>
      <c r="V3" s="2" t="inlineStr">
        <is>
          <t>Gräddporing
Vedskivlav
Rävticka
Trädporella
Järpe
Spillkråka
Revlummer
Äkta lopplummer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46288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46288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46288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46288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46288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46288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46288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46288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6042-2024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45336</v>
      </c>
      <c r="E12" s="1" t="n">
        <v>46288</v>
      </c>
      <c r="F12" t="inlineStr">
        <is>
          <t>VÄSTRA GÖTALANDS LÄN</t>
        </is>
      </c>
      <c r="G12" t="inlineStr">
        <is>
          <t>MÖLNDAL</t>
        </is>
      </c>
      <c r="I12" t="n">
        <v>1.7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Guldlockmossa</t>
        </is>
      </c>
      <c r="W12">
        <f>HYPERLINK("https://klasma.github.io/Logging_1481/artfynd/A 6042-2024 artfynd.xlsx", "A 6042-2024")</f>
        <v/>
      </c>
      <c r="X12">
        <f>HYPERLINK("https://klasma.github.io/Logging_1481/kartor/A 6042-2024 karta.png", "A 6042-2024")</f>
        <v/>
      </c>
      <c r="Y12">
        <f>HYPERLINK("https://klasma.github.io/Logging_1481/kartor_geotiff/A 6042-2024 georefererad karta.tif", "A 6042-2024")</f>
        <v/>
      </c>
      <c r="AA12">
        <f>HYPERLINK("https://klasma.github.io/Logging_1481/klagomål/A 6042-2024 FSC-klagomål.docx", "A 6042-2024")</f>
        <v/>
      </c>
      <c r="AB12">
        <f>HYPERLINK("https://klasma.github.io/Logging_1481/klagomålsmail/A 6042-2024 FSC-klagomål mail.docx", "A 6042-2024")</f>
        <v/>
      </c>
      <c r="AC12">
        <f>HYPERLINK("https://klasma.github.io/Logging_1481/tillsyn/A 6042-2024 tillsynsbegäran.docx", "A 6042-2024")</f>
        <v/>
      </c>
      <c r="AD12">
        <f>HYPERLINK("https://klasma.github.io/Logging_1481/tillsynsmail/A 6042-2024 tillsynsbegäran mail.docx", "A 6042-2024")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46288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46288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46288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Fiskgjuse</t>
        </is>
      </c>
      <c r="W15">
        <f>HYPERLINK("https://klasma.github.io/Logging_1481/artfynd/A 46379-2025 artfynd.xlsx", "A 46379-2025")</f>
        <v/>
      </c>
      <c r="X15">
        <f>HYPERLINK("https://klasma.github.io/Logging_1481/kartor/A 46379-2025 karta.png", "A 46379-2025")</f>
        <v/>
      </c>
      <c r="Y15">
        <f>HYPERLINK("https://klasma.github.io/Logging_1481/kartor_geotiff/A 46379-2025 georefererad karta.tif", "A 46379-2025")</f>
        <v/>
      </c>
      <c r="AA15">
        <f>HYPERLINK("https://klasma.github.io/Logging_1481/klagomål/A 46379-2025 FSC-klagomål.docx", "A 46379-2025")</f>
        <v/>
      </c>
      <c r="AB15">
        <f>HYPERLINK("https://klasma.github.io/Logging_1481/klagomålsmail/A 46379-2025 FSC-klagomål mail.docx", "A 46379-2025")</f>
        <v/>
      </c>
      <c r="AC15">
        <f>HYPERLINK("https://klasma.github.io/Logging_1481/tillsyn/A 46379-2025 tillsynsbegäran.docx", "A 46379-2025")</f>
        <v/>
      </c>
      <c r="AD15">
        <f>HYPERLINK("https://klasma.github.io/Logging_1481/tillsynsmail/A 46379-2025 tillsynsbegäran mail.docx", "A 46379-2025")</f>
        <v/>
      </c>
      <c r="AE15">
        <f>HYPERLINK("https://klasma.github.io/Logging_1481/fåglar/A 46379-2025 prioriterade fågelarter.docx", "A 46379-2025")</f>
        <v/>
      </c>
    </row>
    <row r="16" ht="15" customHeight="1">
      <c r="A16" t="inlineStr">
        <is>
          <t>A 2842-2025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46288</v>
      </c>
      <c r="F16" t="inlineStr">
        <is>
          <t>VÄSTRA GÖTALANDS LÄN</t>
        </is>
      </c>
      <c r="G16" t="inlineStr">
        <is>
          <t>MÖLNDAL</t>
        </is>
      </c>
      <c r="I16" t="n">
        <v>2.7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2842-2025 artfynd.xlsx", "A 2842-2025")</f>
        <v/>
      </c>
      <c r="X16">
        <f>HYPERLINK("https://klasma.github.io/Logging_1481/kartor/A 2842-2025 karta.png", "A 2842-2025")</f>
        <v/>
      </c>
      <c r="Y16">
        <f>HYPERLINK("https://klasma.github.io/Logging_1481/kartor_geotiff/A 2842-2025 georefererad karta.tif", "A 2842-2025")</f>
        <v/>
      </c>
      <c r="AA16">
        <f>HYPERLINK("https://klasma.github.io/Logging_1481/klagomål/A 2842-2025 FSC-klagomål.docx", "A 2842-2025")</f>
        <v/>
      </c>
      <c r="AB16">
        <f>HYPERLINK("https://klasma.github.io/Logging_1481/klagomålsmail/A 2842-2025 FSC-klagomål mail.docx", "A 2842-2025")</f>
        <v/>
      </c>
      <c r="AC16">
        <f>HYPERLINK("https://klasma.github.io/Logging_1481/tillsyn/A 2842-2025 tillsynsbegäran.docx", "A 2842-2025")</f>
        <v/>
      </c>
      <c r="AD16">
        <f>HYPERLINK("https://klasma.github.io/Logging_1481/tillsynsmail/A 2842-2025 tillsynsbegäran mail.docx", "A 2842-2025")</f>
        <v/>
      </c>
      <c r="AE16">
        <f>HYPERLINK("https://klasma.github.io/Logging_1481/fåglar/A 2842-2025 prioriterade fågelarter.docx", "A 2842-2025")</f>
        <v/>
      </c>
    </row>
    <row r="17" ht="15" customHeight="1">
      <c r="A17" t="inlineStr">
        <is>
          <t>A 34574-2025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46288</v>
      </c>
      <c r="F17" t="inlineStr">
        <is>
          <t>VÄSTRA GÖTALANDS LÄN</t>
        </is>
      </c>
      <c r="G17" t="inlineStr">
        <is>
          <t>MÖLNDAL</t>
        </is>
      </c>
      <c r="I17" t="n">
        <v>7.4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Mattlummer</t>
        </is>
      </c>
      <c r="W17">
        <f>HYPERLINK("https://klasma.github.io/Logging_1481/artfynd/A 34574-2025 artfynd.xlsx", "A 34574-2025")</f>
        <v/>
      </c>
      <c r="X17">
        <f>HYPERLINK("https://klasma.github.io/Logging_1481/kartor/A 34574-2025 karta.png", "A 34574-2025")</f>
        <v/>
      </c>
      <c r="Y17">
        <f>HYPERLINK("https://klasma.github.io/Logging_1481/kartor_geotiff/A 34574-2025 georefererad karta.tif", "A 34574-2025")</f>
        <v/>
      </c>
      <c r="AA17">
        <f>HYPERLINK("https://klasma.github.io/Logging_1481/klagomål/A 34574-2025 FSC-klagomål.docx", "A 34574-2025")</f>
        <v/>
      </c>
      <c r="AB17">
        <f>HYPERLINK("https://klasma.github.io/Logging_1481/klagomålsmail/A 34574-2025 FSC-klagomål mail.docx", "A 34574-2025")</f>
        <v/>
      </c>
      <c r="AC17">
        <f>HYPERLINK("https://klasma.github.io/Logging_1481/tillsyn/A 34574-2025 tillsynsbegäran.docx", "A 34574-2025")</f>
        <v/>
      </c>
      <c r="AD17">
        <f>HYPERLINK("https://klasma.github.io/Logging_1481/tillsynsmail/A 34574-2025 tillsynsbegäran mail.docx", "A 34574-2025")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46288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46288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46288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46288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46288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46288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46288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45441</v>
      </c>
      <c r="E25" s="1" t="n">
        <v>46288</v>
      </c>
      <c r="F25" t="inlineStr">
        <is>
          <t>VÄSTRA GÖTALANDS LÄN</t>
        </is>
      </c>
      <c r="G25" t="inlineStr">
        <is>
          <t>MÖLNDAL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43067-2024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46288</v>
      </c>
      <c r="F26" t="inlineStr">
        <is>
          <t>VÄSTRA GÖTALANDS LÄN</t>
        </is>
      </c>
      <c r="G26" t="inlineStr">
        <is>
          <t>MÖLNDAL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46288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45880</v>
      </c>
      <c r="E28" s="1" t="n">
        <v>46288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45734</v>
      </c>
      <c r="E29" s="1" t="n">
        <v>46288</v>
      </c>
      <c r="F29" t="inlineStr">
        <is>
          <t>VÄSTRA GÖTALANDS LÄN</t>
        </is>
      </c>
      <c r="G29" t="inlineStr">
        <is>
          <t>MÖLNDAL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22953-2023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45072</v>
      </c>
      <c r="E30" s="1" t="n">
        <v>46288</v>
      </c>
      <c r="F30" t="inlineStr">
        <is>
          <t>VÄSTRA GÖTALANDS LÄN</t>
        </is>
      </c>
      <c r="G30" t="inlineStr">
        <is>
          <t>MÖLNDAL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62804-2023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45271</v>
      </c>
      <c r="E31" s="1" t="n">
        <v>46288</v>
      </c>
      <c r="F31" t="inlineStr">
        <is>
          <t>VÄSTRA GÖTALANDS LÄN</t>
        </is>
      </c>
      <c r="G31" t="inlineStr">
        <is>
          <t>MÖLNDAL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45782</v>
      </c>
      <c r="E32" s="1" t="n">
        <v>46288</v>
      </c>
      <c r="F32" t="inlineStr">
        <is>
          <t>VÄSTRA GÖTALANDS LÄN</t>
        </is>
      </c>
      <c r="G32" t="inlineStr">
        <is>
          <t>MÖLNDAL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3811-2024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45321</v>
      </c>
      <c r="E33" s="1" t="n">
        <v>46288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44586</v>
      </c>
      <c r="E34" s="1" t="n">
        <v>46288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45337</v>
      </c>
      <c r="E35" s="1" t="n">
        <v>46288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46288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45659</v>
      </c>
      <c r="E37" s="1" t="n">
        <v>46288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46196</v>
      </c>
      <c r="E38" s="1" t="n">
        <v>46288</v>
      </c>
      <c r="F38" t="inlineStr">
        <is>
          <t>VÄSTRA GÖTALANDS LÄN</t>
        </is>
      </c>
      <c r="G38" t="inlineStr">
        <is>
          <t>MÖLNDAL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46288</v>
      </c>
      <c r="F39" t="inlineStr">
        <is>
          <t>VÄSTRA GÖTALANDS LÄN</t>
        </is>
      </c>
      <c r="G39" t="inlineStr">
        <is>
          <t>MÖLNDAL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46288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10661-2026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46288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10654-2026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46288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60809-2024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46288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46261</v>
      </c>
      <c r="E44" s="1" t="n">
        <v>46288</v>
      </c>
      <c r="F44" t="inlineStr">
        <is>
          <t>VÄSTRA GÖTALANDS LÄN</t>
        </is>
      </c>
      <c r="G44" t="inlineStr">
        <is>
          <t>MÖLNDAL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46288</v>
      </c>
      <c r="F45" t="inlineStr">
        <is>
          <t>VÄSTRA GÖTALANDS LÄN</t>
        </is>
      </c>
      <c r="G45" t="inlineStr">
        <is>
          <t>MÖLNDAL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46230</v>
      </c>
      <c r="E46" s="1" t="n">
        <v>46288</v>
      </c>
      <c r="F46" t="inlineStr">
        <is>
          <t>VÄSTRA GÖTALANDS LÄN</t>
        </is>
      </c>
      <c r="G46" t="inlineStr">
        <is>
          <t>MÖLNDAL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45084</v>
      </c>
      <c r="E47" s="1" t="n">
        <v>46288</v>
      </c>
      <c r="F47" t="inlineStr">
        <is>
          <t>VÄSTRA GÖTALANDS LÄN</t>
        </is>
      </c>
      <c r="G47" t="inlineStr">
        <is>
          <t>MÖLNDAL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46281</v>
      </c>
      <c r="E48" s="1" t="n">
        <v>46288</v>
      </c>
      <c r="F48" t="inlineStr">
        <is>
          <t>VÄSTRA GÖTALANDS LÄN</t>
        </is>
      </c>
      <c r="G48" t="inlineStr">
        <is>
          <t>MÖLNDAL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46288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46288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46288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46288</v>
      </c>
      <c r="F52" t="inlineStr">
        <is>
          <t>VÄSTRA GÖTALANDS LÄN</t>
        </is>
      </c>
      <c r="G52" t="inlineStr">
        <is>
          <t>MÖLNDAL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46288</v>
      </c>
      <c r="F53" t="inlineStr">
        <is>
          <t>VÄSTRA GÖTALANDS LÄN</t>
        </is>
      </c>
      <c r="G53" t="inlineStr">
        <is>
          <t>MÖLNDAL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45127</v>
      </c>
      <c r="E54" s="1" t="n">
        <v>46288</v>
      </c>
      <c r="F54" t="inlineStr">
        <is>
          <t>VÄSTRA GÖTALANDS LÄN</t>
        </is>
      </c>
      <c r="G54" t="inlineStr">
        <is>
          <t>MÖLNDAL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46288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46288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2026-09-23T01:58:15Z</dcterms:created>
  <dcterms:modified xmlns:dcterms="http://purl.org/dc/terms/" xmlns:xsi="http://www.w3.org/2001/XMLSchema-instance" xsi:type="dcterms:W3CDTF">2026-09-23T01:58:15Z</dcterms:modified>
</cp:coreProperties>
</file>