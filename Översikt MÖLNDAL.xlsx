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46248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46248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46248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46248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46248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2</v>
      </c>
      <c r="V6" s="2" t="inlineStr">
        <is>
          <t>Duvhök
Tjäder</t>
        </is>
      </c>
      <c r="W6">
        <f>HYPERLINK("https://klasma.github.io/Logging_1481/artfynd/A 46384-2025 artfynd.xlsx", "A 46384-2025")</f>
        <v/>
      </c>
      <c r="X6">
        <f>HYPERLINK("https://klasma.github.io/Logging_1481/kartor/A 46384-2025 karta.png", "A 46384-2025")</f>
        <v/>
      </c>
      <c r="Y6">
        <f>HYPERLINK("https://klasma.github.io/Logging_1481/kartor_geotiff/A 46384-2025 georefererad karta.tif", "A 46384-2025")</f>
        <v/>
      </c>
      <c r="AA6">
        <f>HYPERLINK("https://klasma.github.io/Logging_1481/klagomål/A 46384-2025 FSC-klagomål.docx", "A 46384-2025")</f>
        <v/>
      </c>
      <c r="AB6">
        <f>HYPERLINK("https://klasma.github.io/Logging_1481/klagomålsmail/A 46384-2025 FSC-klagomål mail.docx", "A 46384-2025")</f>
        <v/>
      </c>
      <c r="AC6">
        <f>HYPERLINK("https://klasma.github.io/Logging_1481/tillsyn/A 46384-2025 tillsynsbegäran.docx", "A 46384-2025")</f>
        <v/>
      </c>
      <c r="AD6">
        <f>HYPERLINK("https://klasma.github.io/Logging_1481/tillsynsmail/A 46384-2025 tillsynsbegäran mail.docx", "A 46384-2025")</f>
        <v/>
      </c>
      <c r="AE6">
        <f>HYPERLINK("https://klasma.github.io/Logging_1481/fåglar/A 46384-2025 prioriterade fågelarter.docx", "A 46384-2025")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46248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393-2025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45663</v>
      </c>
      <c r="E8" s="1" t="n">
        <v>46248</v>
      </c>
      <c r="F8" t="inlineStr">
        <is>
          <t>VÄSTRA GÖTALANDS LÄN</t>
        </is>
      </c>
      <c r="G8" t="inlineStr">
        <is>
          <t>MÖLNDAL</t>
        </is>
      </c>
      <c r="I8" t="n">
        <v>5.1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Duvhök
Spillkråka</t>
        </is>
      </c>
      <c r="W8">
        <f>HYPERLINK("https://klasma.github.io/Logging_1481/artfynd/A 393-2025 artfynd.xlsx", "A 393-2025")</f>
        <v/>
      </c>
      <c r="X8">
        <f>HYPERLINK("https://klasma.github.io/Logging_1481/kartor/A 393-2025 karta.png", "A 393-2025")</f>
        <v/>
      </c>
      <c r="Y8">
        <f>HYPERLINK("https://klasma.github.io/Logging_1481/kartor_geotiff/A 393-2025 georefererad karta.tif", "A 393-2025")</f>
        <v/>
      </c>
      <c r="AA8">
        <f>HYPERLINK("https://klasma.github.io/Logging_1481/klagomål/A 393-2025 FSC-klagomål.docx", "A 393-2025")</f>
        <v/>
      </c>
      <c r="AB8">
        <f>HYPERLINK("https://klasma.github.io/Logging_1481/klagomålsmail/A 393-2025 FSC-klagomål mail.docx", "A 393-2025")</f>
        <v/>
      </c>
      <c r="AC8">
        <f>HYPERLINK("https://klasma.github.io/Logging_1481/tillsyn/A 393-2025 tillsynsbegäran.docx", "A 393-2025")</f>
        <v/>
      </c>
      <c r="AD8">
        <f>HYPERLINK("https://klasma.github.io/Logging_1481/tillsynsmail/A 393-2025 tillsynsbegäran mail.docx", "A 393-2025")</f>
        <v/>
      </c>
      <c r="AE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46248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46248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46248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45847</v>
      </c>
      <c r="E12" s="1" t="n">
        <v>46248</v>
      </c>
      <c r="F12" t="inlineStr">
        <is>
          <t>VÄSTRA GÖTALANDS LÄN</t>
        </is>
      </c>
      <c r="G12" t="inlineStr">
        <is>
          <t>MÖLNDAL</t>
        </is>
      </c>
      <c r="I12" t="n">
        <v>7.4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Mattlummer</t>
        </is>
      </c>
      <c r="W12">
        <f>HYPERLINK("https://klasma.github.io/Logging_1481/artfynd/A 34574-2025 artfynd.xlsx", "A 34574-2025")</f>
        <v/>
      </c>
      <c r="X12">
        <f>HYPERLINK("https://klasma.github.io/Logging_1481/kartor/A 34574-2025 karta.png", "A 34574-2025")</f>
        <v/>
      </c>
      <c r="Y12">
        <f>HYPERLINK("https://klasma.github.io/Logging_1481/kartor_geotiff/A 34574-2025 georefererad karta.tif", "A 34574-2025")</f>
        <v/>
      </c>
      <c r="AA12">
        <f>HYPERLINK("https://klasma.github.io/Logging_1481/klagomål/A 34574-2025 FSC-klagomål.docx", "A 34574-2025")</f>
        <v/>
      </c>
      <c r="AB12">
        <f>HYPERLINK("https://klasma.github.io/Logging_1481/klagomålsmail/A 34574-2025 FSC-klagomål mail.docx", "A 34574-2025")</f>
        <v/>
      </c>
      <c r="AC12">
        <f>HYPERLINK("https://klasma.github.io/Logging_1481/tillsyn/A 34574-2025 tillsynsbegäran.docx", "A 34574-2025")</f>
        <v/>
      </c>
      <c r="AD12">
        <f>HYPERLINK("https://klasma.github.io/Logging_1481/tillsynsmail/A 34574-2025 tillsynsbegäran mail.docx", "A 34574-2025")</f>
        <v/>
      </c>
    </row>
    <row r="13" ht="15" customHeight="1">
      <c r="A13" t="inlineStr">
        <is>
          <t>A 48265-2025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45933</v>
      </c>
      <c r="E13" s="1" t="n">
        <v>46248</v>
      </c>
      <c r="F13" t="inlineStr">
        <is>
          <t>VÄSTRA GÖTALANDS LÄN</t>
        </is>
      </c>
      <c r="G13" t="inlineStr">
        <is>
          <t>MÖLNDAL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48265-2025 artfynd.xlsx", "A 48265-2025")</f>
        <v/>
      </c>
      <c r="X13">
        <f>HYPERLINK("https://klasma.github.io/Logging_1481/kartor/A 48265-2025 karta.png", "A 48265-2025")</f>
        <v/>
      </c>
      <c r="Y13">
        <f>HYPERLINK("https://klasma.github.io/Logging_1481/kartor_geotiff/A 48265-2025 georefererad karta.tif", "A 48265-2025")</f>
        <v/>
      </c>
      <c r="AA13">
        <f>HYPERLINK("https://klasma.github.io/Logging_1481/klagomål/A 48265-2025 FSC-klagomål.docx", "A 48265-2025")</f>
        <v/>
      </c>
      <c r="AB13">
        <f>HYPERLINK("https://klasma.github.io/Logging_1481/klagomålsmail/A 48265-2025 FSC-klagomål mail.docx", "A 48265-2025")</f>
        <v/>
      </c>
      <c r="AC13">
        <f>HYPERLINK("https://klasma.github.io/Logging_1481/tillsyn/A 48265-2025 tillsynsbegäran.docx", "A 48265-2025")</f>
        <v/>
      </c>
      <c r="AD13">
        <f>HYPERLINK("https://klasma.github.io/Logging_1481/tillsynsmail/A 48265-2025 tillsynsbegäran mail.docx", "A 48265-2025")</f>
        <v/>
      </c>
      <c r="AE13">
        <f>HYPERLINK("https://klasma.github.io/Logging_1481/fåglar/A 48265-2025 prioriterade fågelarter.docx", "A 48265-2025")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46248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46248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23796-2026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46248</v>
      </c>
      <c r="F16" t="inlineStr">
        <is>
          <t>VÄSTRA GÖTALANDS LÄN</t>
        </is>
      </c>
      <c r="G16" t="inlineStr">
        <is>
          <t>MÖLNDAL</t>
        </is>
      </c>
      <c r="I16" t="n">
        <v>3.6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Tjäder</t>
        </is>
      </c>
      <c r="W16">
        <f>HYPERLINK("https://klasma.github.io/Logging_1481/artfynd/A 23796-2026 artfynd.xlsx", "A 23796-2026")</f>
        <v/>
      </c>
      <c r="X16">
        <f>HYPERLINK("https://klasma.github.io/Logging_1481/kartor/A 23796-2026 karta.png", "A 23796-2026")</f>
        <v/>
      </c>
      <c r="Y16">
        <f>HYPERLINK("https://klasma.github.io/Logging_1481/kartor_geotiff/A 23796-2026 georefererad karta.tif", "A 23796-2026")</f>
        <v/>
      </c>
      <c r="AA16">
        <f>HYPERLINK("https://klasma.github.io/Logging_1481/klagomål/A 23796-2026 FSC-klagomål.docx", "A 23796-2026")</f>
        <v/>
      </c>
      <c r="AB16">
        <f>HYPERLINK("https://klasma.github.io/Logging_1481/klagomålsmail/A 23796-2026 FSC-klagomål mail.docx", "A 23796-2026")</f>
        <v/>
      </c>
      <c r="AC16">
        <f>HYPERLINK("https://klasma.github.io/Logging_1481/tillsyn/A 23796-2026 tillsynsbegäran.docx", "A 23796-2026")</f>
        <v/>
      </c>
      <c r="AD16">
        <f>HYPERLINK("https://klasma.github.io/Logging_1481/tillsynsmail/A 23796-2026 tillsynsbegäran mail.docx", "A 23796-2026")</f>
        <v/>
      </c>
      <c r="AE16">
        <f>HYPERLINK("https://klasma.github.io/Logging_1481/fåglar/A 23796-2026 prioriterade fågelarter.docx", "A 23796-2026")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46248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46248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46248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46248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46248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46248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46248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46248</v>
      </c>
      <c r="F24" t="inlineStr">
        <is>
          <t>VÄSTRA GÖTALANDS LÄN</t>
        </is>
      </c>
      <c r="G24" t="inlineStr">
        <is>
          <t>MÖLNDAL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46248</v>
      </c>
      <c r="F25" t="inlineStr">
        <is>
          <t>VÄSTRA GÖTALANDS LÄN</t>
        </is>
      </c>
      <c r="G25" t="inlineStr">
        <is>
          <t>MÖLNDAL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60809-2024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46248</v>
      </c>
      <c r="F26" t="inlineStr">
        <is>
          <t>VÄSTRA GÖTALANDS LÄN</t>
        </is>
      </c>
      <c r="G26" t="inlineStr">
        <is>
          <t>MÖLNDAL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45072</v>
      </c>
      <c r="E27" s="1" t="n">
        <v>46248</v>
      </c>
      <c r="F27" t="inlineStr">
        <is>
          <t>VÄSTRA GÖTALANDS LÄN</t>
        </is>
      </c>
      <c r="G27" t="inlineStr">
        <is>
          <t>MÖLNDAL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62804-2023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45271</v>
      </c>
      <c r="E28" s="1" t="n">
        <v>46248</v>
      </c>
      <c r="F28" t="inlineStr">
        <is>
          <t>VÄSTRA GÖTALANDS LÄN</t>
        </is>
      </c>
      <c r="G28" t="inlineStr">
        <is>
          <t>MÖLNDAL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21536-2024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46248</v>
      </c>
      <c r="F29" t="inlineStr">
        <is>
          <t>VÄSTRA GÖTALANDS LÄN</t>
        </is>
      </c>
      <c r="G29" t="inlineStr">
        <is>
          <t>MÖLNDAL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43067-2024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46248</v>
      </c>
      <c r="F30" t="inlineStr">
        <is>
          <t>VÄSTRA GÖTALANDS LÄN</t>
        </is>
      </c>
      <c r="G30" t="inlineStr">
        <is>
          <t>MÖLNDAL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46248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46248</v>
      </c>
      <c r="F32" t="inlineStr">
        <is>
          <t>VÄSTRA GÖTALANDS LÄN</t>
        </is>
      </c>
      <c r="G32" t="inlineStr">
        <is>
          <t>MÖLNDAL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46248</v>
      </c>
      <c r="F33" t="inlineStr">
        <is>
          <t>VÄSTRA GÖTALANDS LÄN</t>
        </is>
      </c>
      <c r="G33" t="inlineStr">
        <is>
          <t>MÖLNDAL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6258-2024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45337</v>
      </c>
      <c r="E34" s="1" t="n">
        <v>46248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11256-2024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45371</v>
      </c>
      <c r="E35" s="1" t="n">
        <v>46248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45659</v>
      </c>
      <c r="E36" s="1" t="n">
        <v>46248</v>
      </c>
      <c r="F36" t="inlineStr">
        <is>
          <t>VÄSTRA GÖTALANDS LÄN</t>
        </is>
      </c>
      <c r="G36" t="inlineStr">
        <is>
          <t>MÖLNDAL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45084</v>
      </c>
      <c r="E37" s="1" t="n">
        <v>46248</v>
      </c>
      <c r="F37" t="inlineStr">
        <is>
          <t>VÄSTRA GÖTALANDS LÄN</t>
        </is>
      </c>
      <c r="G37" t="inlineStr">
        <is>
          <t>MÖLNDAL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46248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45734</v>
      </c>
      <c r="E39" s="1" t="n">
        <v>46248</v>
      </c>
      <c r="F39" t="inlineStr">
        <is>
          <t>VÄSTRA GÖTALANDS LÄN</t>
        </is>
      </c>
      <c r="G39" t="inlineStr">
        <is>
          <t>MÖLNDAL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45371</v>
      </c>
      <c r="E40" s="1" t="n">
        <v>46248</v>
      </c>
      <c r="F40" t="inlineStr">
        <is>
          <t>VÄSTRA GÖTALANDS LÄN</t>
        </is>
      </c>
      <c r="G40" t="inlineStr">
        <is>
          <t>MÖLNDAL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46248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45127</v>
      </c>
      <c r="E42" s="1" t="n">
        <v>46248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37570-2025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45880</v>
      </c>
      <c r="E43" s="1" t="n">
        <v>46248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46248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46248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46248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46248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46248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46248</v>
      </c>
      <c r="F49" t="inlineStr">
        <is>
          <t>VÄSTRA GÖTALANDS LÄN</t>
        </is>
      </c>
      <c r="G49" t="inlineStr">
        <is>
          <t>MÖLNDAL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46248</v>
      </c>
      <c r="F50" t="inlineStr">
        <is>
          <t>VÄSTRA GÖTALANDS LÄN</t>
        </is>
      </c>
      <c r="G50" t="inlineStr">
        <is>
          <t>MÖLNDAL</t>
        </is>
      </c>
      <c r="H50" t="inlineStr">
        <is>
          <t>Kommuner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10661-2026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46078</v>
      </c>
      <c r="E51" s="1" t="n">
        <v>46248</v>
      </c>
      <c r="F51" t="inlineStr">
        <is>
          <t>VÄSTRA GÖTALANDS LÄN</t>
        </is>
      </c>
      <c r="G51" t="inlineStr">
        <is>
          <t>MÖLNDAL</t>
        </is>
      </c>
      <c r="H51" t="inlineStr">
        <is>
          <t>Kommuner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10654-2026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46248</v>
      </c>
      <c r="F52" t="inlineStr">
        <is>
          <t>VÄSTRA GÖTALANDS LÄN</t>
        </is>
      </c>
      <c r="G52" t="inlineStr">
        <is>
          <t>MÖLNDAL</t>
        </is>
      </c>
      <c r="H52" t="inlineStr">
        <is>
          <t>Kommuner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46248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46248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2026-08-14T01:52:58Z</dcterms:created>
  <dcterms:modified xmlns:dcterms="http://purl.org/dc/terms/" xmlns:xsi="http://www.w3.org/2001/XMLSchema-instance" xsi:type="dcterms:W3CDTF">2026-08-14T01:52:58Z</dcterms:modified>
</cp:coreProperties>
</file>