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s="2" t="inlineStr">
        <is>
          <t>Duvhök
Järnsparv
Talltita
Bergfink
Spillkråka
Tjäder
Tofsmes
Grönsiska
Kungsfågel</t>
        </is>
      </c>
      <c r="V2">
        <f>HYPERLINK("https://klasma.github.io/Logging_1481/artfynd/A 61167-2024 artfynd.xlsx", "A 61167-2024")</f>
        <v/>
      </c>
      <c r="W2">
        <f>HYPERLINK("https://klasma.github.io/Logging_1481/kartor/A 61167-2024 karta.png", "A 61167-2024")</f>
        <v/>
      </c>
      <c r="Y2">
        <f>HYPERLINK("https://klasma.github.io/Logging_1481/klagomål/A 61167-2024 FSC-klagomål.docx", "A 61167-2024")</f>
        <v/>
      </c>
      <c r="Z2">
        <f>HYPERLINK("https://klasma.github.io/Logging_1481/klagomålsmail/A 61167-2024 FSC-klagomål mail.docx", "A 61167-2024")</f>
        <v/>
      </c>
      <c r="AA2">
        <f>HYPERLINK("https://klasma.github.io/Logging_1481/tillsyn/A 61167-2024 tillsynsbegäran.docx", "A 61167-2024")</f>
        <v/>
      </c>
      <c r="AB2">
        <f>HYPERLINK("https://klasma.github.io/Logging_1481/tillsynsmail/A 61167-2024 tillsynsbegäran mail.docx", "A 61167-2024")</f>
        <v/>
      </c>
      <c r="AC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46221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s="2" t="inlineStr">
        <is>
          <t>Ask
Tallticka
Klippfrullania
Gröngöling
Lopplummer (aggregat)</t>
        </is>
      </c>
      <c r="V3">
        <f>HYPERLINK("https://klasma.github.io/Logging_1481/artfynd/A 73714-2021 artfynd.xlsx", "A 73714-2021")</f>
        <v/>
      </c>
      <c r="W3">
        <f>HYPERLINK("https://klasma.github.io/Logging_1481/kartor/A 73714-2021 karta.png", "A 73714-2021")</f>
        <v/>
      </c>
      <c r="Y3">
        <f>HYPERLINK("https://klasma.github.io/Logging_1481/klagomål/A 73714-2021 FSC-klagomål.docx", "A 73714-2021")</f>
        <v/>
      </c>
      <c r="Z3">
        <f>HYPERLINK("https://klasma.github.io/Logging_1481/klagomålsmail/A 73714-2021 FSC-klagomål mail.docx", "A 73714-2021")</f>
        <v/>
      </c>
      <c r="AA3">
        <f>HYPERLINK("https://klasma.github.io/Logging_1481/tillsyn/A 73714-2021 tillsynsbegäran.docx", "A 73714-2021")</f>
        <v/>
      </c>
      <c r="AB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46221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s="2" t="inlineStr">
        <is>
          <t>Vedskivlav
Rävticka
Trädporella
Järpe
Spillkråka</t>
        </is>
      </c>
      <c r="V4">
        <f>HYPERLINK("https://klasma.github.io/Logging_1481/artfynd/A 31321-2025 artfynd.xlsx", "A 31321-2025")</f>
        <v/>
      </c>
      <c r="W4">
        <f>HYPERLINK("https://klasma.github.io/Logging_1481/kartor/A 31321-2025 karta.png", "A 31321-2025")</f>
        <v/>
      </c>
      <c r="Y4">
        <f>HYPERLINK("https://klasma.github.io/Logging_1481/klagomål/A 31321-2025 FSC-klagomål.docx", "A 31321-2025")</f>
        <v/>
      </c>
      <c r="Z4">
        <f>HYPERLINK("https://klasma.github.io/Logging_1481/klagomålsmail/A 31321-2025 FSC-klagomål mail.docx", "A 31321-2025")</f>
        <v/>
      </c>
      <c r="AA4">
        <f>HYPERLINK("https://klasma.github.io/Logging_1481/tillsyn/A 31321-2025 tillsynsbegäran.docx", "A 31321-2025")</f>
        <v/>
      </c>
      <c r="AB4">
        <f>HYPERLINK("https://klasma.github.io/Logging_1481/tillsynsmail/A 31321-2025 tillsynsbegäran mail.docx", "A 31321-2025")</f>
        <v/>
      </c>
      <c r="AC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46221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Duvhök
Spillkråka</t>
        </is>
      </c>
      <c r="V5">
        <f>HYPERLINK("https://klasma.github.io/Logging_1481/artfynd/A 393-2025 artfynd.xlsx", "A 393-2025")</f>
        <v/>
      </c>
      <c r="W5">
        <f>HYPERLINK("https://klasma.github.io/Logging_1481/kartor/A 393-2025 karta.png", "A 393-2025")</f>
        <v/>
      </c>
      <c r="Y5">
        <f>HYPERLINK("https://klasma.github.io/Logging_1481/klagomål/A 393-2025 FSC-klagomål.docx", "A 393-2025")</f>
        <v/>
      </c>
      <c r="Z5">
        <f>HYPERLINK("https://klasma.github.io/Logging_1481/klagomålsmail/A 393-2025 FSC-klagomål mail.docx", "A 393-2025")</f>
        <v/>
      </c>
      <c r="AA5">
        <f>HYPERLINK("https://klasma.github.io/Logging_1481/tillsyn/A 393-2025 tillsynsbegäran.docx", "A 393-2025")</f>
        <v/>
      </c>
      <c r="AB5">
        <f>HYPERLINK("https://klasma.github.io/Logging_1481/tillsynsmail/A 393-2025 tillsynsbegäran mail.docx", "A 393-2025")</f>
        <v/>
      </c>
      <c r="AC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46221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s="2" t="inlineStr">
        <is>
          <t>Spillkråka
Tjäder</t>
        </is>
      </c>
      <c r="V6">
        <f>HYPERLINK("https://klasma.github.io/Logging_1481/artfynd/A 62768-2025 artfynd.xlsx", "A 62768-2025")</f>
        <v/>
      </c>
      <c r="W6">
        <f>HYPERLINK("https://klasma.github.io/Logging_1481/kartor/A 62768-2025 karta.png", "A 62768-2025")</f>
        <v/>
      </c>
      <c r="Y6">
        <f>HYPERLINK("https://klasma.github.io/Logging_1481/klagomål/A 62768-2025 FSC-klagomål.docx", "A 62768-2025")</f>
        <v/>
      </c>
      <c r="Z6">
        <f>HYPERLINK("https://klasma.github.io/Logging_1481/klagomålsmail/A 62768-2025 FSC-klagomål mail.docx", "A 62768-2025")</f>
        <v/>
      </c>
      <c r="AA6">
        <f>HYPERLINK("https://klasma.github.io/Logging_1481/tillsyn/A 62768-2025 tillsynsbegäran.docx", "A 62768-2025")</f>
        <v/>
      </c>
      <c r="AB6">
        <f>HYPERLINK("https://klasma.github.io/Logging_1481/tillsynsmail/A 62768-2025 tillsynsbegäran mail.docx", "A 62768-2025")</f>
        <v/>
      </c>
      <c r="AC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46221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s="2" t="inlineStr">
        <is>
          <t>Duvhök
Tjäder</t>
        </is>
      </c>
      <c r="V7">
        <f>HYPERLINK("https://klasma.github.io/Logging_1481/artfynd/A 46384-2025 artfynd.xlsx", "A 46384-2025")</f>
        <v/>
      </c>
      <c r="W7">
        <f>HYPERLINK("https://klasma.github.io/Logging_1481/kartor/A 46384-2025 karta.png", "A 46384-2025")</f>
        <v/>
      </c>
      <c r="Y7">
        <f>HYPERLINK("https://klasma.github.io/Logging_1481/klagomål/A 46384-2025 FSC-klagomål.docx", "A 46384-2025")</f>
        <v/>
      </c>
      <c r="Z7">
        <f>HYPERLINK("https://klasma.github.io/Logging_1481/klagomålsmail/A 46384-2025 FSC-klagomål mail.docx", "A 46384-2025")</f>
        <v/>
      </c>
      <c r="AA7">
        <f>HYPERLINK("https://klasma.github.io/Logging_1481/tillsyn/A 46384-2025 tillsynsbegäran.docx", "A 46384-2025")</f>
        <v/>
      </c>
      <c r="AB7">
        <f>HYPERLINK("https://klasma.github.io/Logging_1481/tillsynsmail/A 46384-2025 tillsynsbegäran mail.docx", "A 46384-2025")</f>
        <v/>
      </c>
      <c r="AC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46221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Klippfrullania
Trubbfjädermossa</t>
        </is>
      </c>
      <c r="V8">
        <f>HYPERLINK("https://klasma.github.io/Logging_1481/artfynd/A 49789-2023 artfynd.xlsx", "A 49789-2023")</f>
        <v/>
      </c>
      <c r="W8">
        <f>HYPERLINK("https://klasma.github.io/Logging_1481/kartor/A 49789-2023 karta.png", "A 49789-2023")</f>
        <v/>
      </c>
      <c r="Y8">
        <f>HYPERLINK("https://klasma.github.io/Logging_1481/klagomål/A 49789-2023 FSC-klagomål.docx", "A 49789-2023")</f>
        <v/>
      </c>
      <c r="Z8">
        <f>HYPERLINK("https://klasma.github.io/Logging_1481/klagomålsmail/A 49789-2023 FSC-klagomål mail.docx", "A 49789-2023")</f>
        <v/>
      </c>
      <c r="AA8">
        <f>HYPERLINK("https://klasma.github.io/Logging_1481/tillsyn/A 49789-2023 tillsynsbegäran.docx", "A 49789-2023")</f>
        <v/>
      </c>
      <c r="AB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46221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Hasselmus</t>
        </is>
      </c>
      <c r="V9">
        <f>HYPERLINK("https://klasma.github.io/Logging_1481/artfynd/A 42415-2022 artfynd.xlsx", "A 42415-2022")</f>
        <v/>
      </c>
      <c r="W9">
        <f>HYPERLINK("https://klasma.github.io/Logging_1481/kartor/A 42415-2022 karta.png", "A 42415-2022")</f>
        <v/>
      </c>
      <c r="Y9">
        <f>HYPERLINK("https://klasma.github.io/Logging_1481/klagomål/A 42415-2022 FSC-klagomål.docx", "A 42415-2022")</f>
        <v/>
      </c>
      <c r="Z9">
        <f>HYPERLINK("https://klasma.github.io/Logging_1481/klagomålsmail/A 42415-2022 FSC-klagomål mail.docx", "A 42415-2022")</f>
        <v/>
      </c>
      <c r="AA9">
        <f>HYPERLINK("https://klasma.github.io/Logging_1481/tillsyn/A 42415-2022 tillsynsbegäran.docx", "A 42415-2022")</f>
        <v/>
      </c>
      <c r="AB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46221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Grönsångare</t>
        </is>
      </c>
      <c r="V10">
        <f>HYPERLINK("https://klasma.github.io/Logging_1481/artfynd/A 3678-2022 artfynd.xlsx", "A 3678-2022")</f>
        <v/>
      </c>
      <c r="W10">
        <f>HYPERLINK("https://klasma.github.io/Logging_1481/kartor/A 3678-2022 karta.png", "A 3678-2022")</f>
        <v/>
      </c>
      <c r="Y10">
        <f>HYPERLINK("https://klasma.github.io/Logging_1481/klagomål/A 3678-2022 FSC-klagomål.docx", "A 3678-2022")</f>
        <v/>
      </c>
      <c r="Z10">
        <f>HYPERLINK("https://klasma.github.io/Logging_1481/klagomålsmail/A 3678-2022 FSC-klagomål mail.docx", "A 3678-2022")</f>
        <v/>
      </c>
      <c r="AA10">
        <f>HYPERLINK("https://klasma.github.io/Logging_1481/tillsyn/A 3678-2022 tillsynsbegäran.docx", "A 3678-2022")</f>
        <v/>
      </c>
      <c r="AB10">
        <f>HYPERLINK("https://klasma.github.io/Logging_1481/tillsynsmail/A 3678-2022 tillsynsbegäran mail.docx", "A 3678-2022")</f>
        <v/>
      </c>
      <c r="AC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46221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Tjäder</t>
        </is>
      </c>
      <c r="V11">
        <f>HYPERLINK("https://klasma.github.io/Logging_1481/artfynd/A 2842-2025 artfynd.xlsx", "A 2842-2025")</f>
        <v/>
      </c>
      <c r="W11">
        <f>HYPERLINK("https://klasma.github.io/Logging_1481/kartor/A 2842-2025 karta.png", "A 2842-2025")</f>
        <v/>
      </c>
      <c r="Y11">
        <f>HYPERLINK("https://klasma.github.io/Logging_1481/klagomål/A 2842-2025 FSC-klagomål.docx", "A 2842-2025")</f>
        <v/>
      </c>
      <c r="Z11">
        <f>HYPERLINK("https://klasma.github.io/Logging_1481/klagomålsmail/A 2842-2025 FSC-klagomål mail.docx", "A 2842-2025")</f>
        <v/>
      </c>
      <c r="AA11">
        <f>HYPERLINK("https://klasma.github.io/Logging_1481/tillsyn/A 2842-2025 tillsynsbegäran.docx", "A 2842-2025")</f>
        <v/>
      </c>
      <c r="AB11">
        <f>HYPERLINK("https://klasma.github.io/Logging_1481/tillsynsmail/A 2842-2025 tillsynsbegäran mail.docx", "A 2842-2025")</f>
        <v/>
      </c>
      <c r="AC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46221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HYPERLINK("https://klasma.github.io/Logging_1481/artfynd/A 44926-2025 artfynd.xlsx", "A 44926-2025")</f>
        <v/>
      </c>
      <c r="W12">
        <f>HYPERLINK("https://klasma.github.io/Logging_1481/kartor/A 44926-2025 karta.png", "A 44926-2025")</f>
        <v/>
      </c>
      <c r="Y12">
        <f>HYPERLINK("https://klasma.github.io/Logging_1481/klagomål/A 44926-2025 FSC-klagomål.docx", "A 44926-2025")</f>
        <v/>
      </c>
      <c r="Z12">
        <f>HYPERLINK("https://klasma.github.io/Logging_1481/klagomålsmail/A 44926-2025 FSC-klagomål mail.docx", "A 44926-2025")</f>
        <v/>
      </c>
      <c r="AA12">
        <f>HYPERLINK("https://klasma.github.io/Logging_1481/tillsyn/A 44926-2025 tillsynsbegäran.docx", "A 44926-2025")</f>
        <v/>
      </c>
      <c r="AB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46221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Mattlummer</t>
        </is>
      </c>
      <c r="V13">
        <f>HYPERLINK("https://klasma.github.io/Logging_1481/artfynd/A 34574-2025 artfynd.xlsx", "A 34574-2025")</f>
        <v/>
      </c>
      <c r="W13">
        <f>HYPERLINK("https://klasma.github.io/Logging_1481/kartor/A 34574-2025 karta.png", "A 34574-2025")</f>
        <v/>
      </c>
      <c r="Y13">
        <f>HYPERLINK("https://klasma.github.io/Logging_1481/klagomål/A 34574-2025 FSC-klagomål.docx", "A 34574-2025")</f>
        <v/>
      </c>
      <c r="Z13">
        <f>HYPERLINK("https://klasma.github.io/Logging_1481/klagomålsmail/A 34574-2025 FSC-klagomål mail.docx", "A 34574-2025")</f>
        <v/>
      </c>
      <c r="AA13">
        <f>HYPERLINK("https://klasma.github.io/Logging_1481/tillsyn/A 34574-2025 tillsynsbegäran.docx", "A 34574-2025")</f>
        <v/>
      </c>
      <c r="AB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46221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Guldlockmossa</t>
        </is>
      </c>
      <c r="V14">
        <f>HYPERLINK("https://klasma.github.io/Logging_1481/artfynd/A 6042-2024 artfynd.xlsx", "A 6042-2024")</f>
        <v/>
      </c>
      <c r="W14">
        <f>HYPERLINK("https://klasma.github.io/Logging_1481/kartor/A 6042-2024 karta.png", "A 6042-2024")</f>
        <v/>
      </c>
      <c r="Y14">
        <f>HYPERLINK("https://klasma.github.io/Logging_1481/klagomål/A 6042-2024 FSC-klagomål.docx", "A 6042-2024")</f>
        <v/>
      </c>
      <c r="Z14">
        <f>HYPERLINK("https://klasma.github.io/Logging_1481/klagomålsmail/A 6042-2024 FSC-klagomål mail.docx", "A 6042-2024")</f>
        <v/>
      </c>
      <c r="AA14">
        <f>HYPERLINK("https://klasma.github.io/Logging_1481/tillsyn/A 6042-2024 tillsynsbegäran.docx", "A 6042-2024")</f>
        <v/>
      </c>
      <c r="AB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46221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Fiskgjuse</t>
        </is>
      </c>
      <c r="V15">
        <f>HYPERLINK("https://klasma.github.io/Logging_1481/artfynd/A 46379-2025 artfynd.xlsx", "A 46379-2025")</f>
        <v/>
      </c>
      <c r="W15">
        <f>HYPERLINK("https://klasma.github.io/Logging_1481/kartor/A 46379-2025 karta.png", "A 46379-2025")</f>
        <v/>
      </c>
      <c r="Y15">
        <f>HYPERLINK("https://klasma.github.io/Logging_1481/klagomål/A 46379-2025 FSC-klagomål.docx", "A 46379-2025")</f>
        <v/>
      </c>
      <c r="Z15">
        <f>HYPERLINK("https://klasma.github.io/Logging_1481/klagomålsmail/A 46379-2025 FSC-klagomål mail.docx", "A 46379-2025")</f>
        <v/>
      </c>
      <c r="AA15">
        <f>HYPERLINK("https://klasma.github.io/Logging_1481/tillsyn/A 46379-2025 tillsynsbegäran.docx", "A 46379-2025")</f>
        <v/>
      </c>
      <c r="AB15">
        <f>HYPERLINK("https://klasma.github.io/Logging_1481/tillsynsmail/A 46379-2025 tillsynsbegäran mail.docx", "A 46379-2025")</f>
        <v/>
      </c>
      <c r="AC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46221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Tjäder</t>
        </is>
      </c>
      <c r="V16">
        <f>HYPERLINK("https://klasma.github.io/Logging_1481/artfynd/A 48265-2025 artfynd.xlsx", "A 48265-2025")</f>
        <v/>
      </c>
      <c r="W16">
        <f>HYPERLINK("https://klasma.github.io/Logging_1481/kartor/A 48265-2025 karta.png", "A 48265-2025")</f>
        <v/>
      </c>
      <c r="Y16">
        <f>HYPERLINK("https://klasma.github.io/Logging_1481/klagomål/A 48265-2025 FSC-klagomål.docx", "A 48265-2025")</f>
        <v/>
      </c>
      <c r="Z16">
        <f>HYPERLINK("https://klasma.github.io/Logging_1481/klagomålsmail/A 48265-2025 FSC-klagomål mail.docx", "A 48265-2025")</f>
        <v/>
      </c>
      <c r="AA16">
        <f>HYPERLINK("https://klasma.github.io/Logging_1481/tillsyn/A 48265-2025 tillsynsbegäran.docx", "A 48265-2025")</f>
        <v/>
      </c>
      <c r="AB16">
        <f>HYPERLINK("https://klasma.github.io/Logging_1481/tillsynsmail/A 48265-2025 tillsynsbegäran mail.docx", "A 48265-2025")</f>
        <v/>
      </c>
      <c r="AC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46221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46221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46221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46221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46221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46221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46221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46221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46221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46221</v>
      </c>
      <c r="F27" t="inlineStr">
        <is>
          <t>VÄSTRA GÖTALANDS LÄN</t>
        </is>
      </c>
      <c r="G27" t="inlineStr">
        <is>
          <t>MÖLNDAL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46221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60809-2024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46221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46221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88-2025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45659</v>
      </c>
      <c r="E31" s="1" t="n">
        <v>46221</v>
      </c>
      <c r="F31" t="inlineStr">
        <is>
          <t>VÄSTRA GÖTALANDS LÄN</t>
        </is>
      </c>
      <c r="G31" t="inlineStr">
        <is>
          <t>MÖLNDAL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46221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10672-2026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46221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46221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46221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46221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46221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46221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19295-2025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46221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46221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45321</v>
      </c>
      <c r="E41" s="1" t="n">
        <v>46221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46221</v>
      </c>
      <c r="F42" t="inlineStr">
        <is>
          <t>VÄSTRA GÖTALANDS LÄN</t>
        </is>
      </c>
      <c r="G42" t="inlineStr">
        <is>
          <t>MÖLNDAL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46221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46221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46221</v>
      </c>
      <c r="F45" t="inlineStr">
        <is>
          <t>VÄSTRA GÖTALANDS LÄN</t>
        </is>
      </c>
      <c r="G45" t="inlineStr">
        <is>
          <t>MÖLNDAL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62804-2023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45271</v>
      </c>
      <c r="E46" s="1" t="n">
        <v>46221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46221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22953-2023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45072</v>
      </c>
      <c r="E48" s="1" t="n">
        <v>46221</v>
      </c>
      <c r="F48" t="inlineStr">
        <is>
          <t>VÄSTRA GÖTALANDS LÄN</t>
        </is>
      </c>
      <c r="G48" t="inlineStr">
        <is>
          <t>MÖLNDAL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46221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46221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2026-07-18T01:20:59Z</dcterms:created>
  <dcterms:modified xmlns:dcterms="http://purl.org/dc/terms/" xmlns:xsi="http://www.w3.org/2001/XMLSchema-instance" xsi:type="dcterms:W3CDTF">2026-07-18T01:20:59Z</dcterms:modified>
</cp:coreProperties>
</file>